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性能参数" sheetId="1" r:id="rId1"/>
    <sheet name="扭矩特性曲线" sheetId="3" r:id="rId2"/>
    <sheet name="TN曲线" sheetId="4" r:id="rId3"/>
    <sheet name="堵转温升" sheetId="5" r:id="rId4"/>
    <sheet name="负载温升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<sst xmlns="http://schemas.openxmlformats.org/spreadsheetml/2006/main" count="170" uniqueCount="122">
  <si>
    <t>黄色底纹参数由结构部同事给出</t>
  </si>
  <si>
    <t>电机型号</t>
  </si>
  <si>
    <t>10020-24-72V</t>
  </si>
  <si>
    <t>测试人</t>
  </si>
  <si>
    <t>张佳恒</t>
  </si>
  <si>
    <t>测试项</t>
  </si>
  <si>
    <t>单位</t>
  </si>
  <si>
    <t>数值</t>
  </si>
  <si>
    <t>力位混控协议范围</t>
  </si>
  <si>
    <t>减速比</t>
  </si>
  <si>
    <t>KP Range</t>
  </si>
  <si>
    <t>额定电压</t>
  </si>
  <si>
    <t>V</t>
  </si>
  <si>
    <t>KD Range</t>
  </si>
  <si>
    <t>额定母线电流</t>
  </si>
  <si>
    <t>A</t>
  </si>
  <si>
    <t>SPD Range(rad/s)</t>
  </si>
  <si>
    <t>额定相电流</t>
  </si>
  <si>
    <t>POS Range(rad)</t>
  </si>
  <si>
    <t>额定功率</t>
  </si>
  <si>
    <t>W</t>
  </si>
  <si>
    <t>Tor Range(Nm)</t>
  </si>
  <si>
    <t>额定转速</t>
  </si>
  <si>
    <t>RPM</t>
  </si>
  <si>
    <t>Cur Range(A)</t>
  </si>
  <si>
    <t>额定扭矩</t>
  </si>
  <si>
    <t>Nm</t>
  </si>
  <si>
    <t>峰值转速</t>
  </si>
  <si>
    <t>峰值相电流</t>
  </si>
  <si>
    <t>峰值扭矩</t>
  </si>
  <si>
    <t>电机平均效率</t>
  </si>
  <si>
    <t>扭矩常数</t>
  </si>
  <si>
    <t>Nm/A</t>
  </si>
  <si>
    <t>电机重量</t>
  </si>
  <si>
    <t>g</t>
  </si>
  <si>
    <t>减速器背隙</t>
  </si>
  <si>
    <t>Arcmin</t>
  </si>
  <si>
    <r>
      <rPr>
        <sz val="14"/>
        <color rgb="FF000000"/>
        <rFont val="宋体"/>
        <charset val="134"/>
      </rPr>
      <t>电机尺寸</t>
    </r>
    <r>
      <rPr>
        <sz val="14"/>
        <color rgb="FF000000"/>
        <rFont val="Times New Roman"/>
        <charset val="134"/>
      </rPr>
      <t>(</t>
    </r>
    <r>
      <rPr>
        <sz val="14"/>
        <color rgb="FF000000"/>
        <rFont val="宋体"/>
        <charset val="134"/>
      </rPr>
      <t>外径</t>
    </r>
    <r>
      <rPr>
        <sz val="14"/>
        <color rgb="FF000000"/>
        <rFont val="Times New Roman"/>
        <charset val="134"/>
      </rPr>
      <t>×</t>
    </r>
    <r>
      <rPr>
        <sz val="14"/>
        <color rgb="FF000000"/>
        <rFont val="宋体"/>
        <charset val="134"/>
      </rPr>
      <t>厚度</t>
    </r>
    <r>
      <rPr>
        <sz val="14"/>
        <color rgb="FF000000"/>
        <rFont val="Times New Roman"/>
        <charset val="134"/>
      </rPr>
      <t>)</t>
    </r>
  </si>
  <si>
    <t>mm</t>
  </si>
  <si>
    <t>通信方式</t>
  </si>
  <si>
    <t>CAN</t>
  </si>
  <si>
    <t>通信波特率</t>
  </si>
  <si>
    <t>1M</t>
  </si>
  <si>
    <t>是否具有双编码器</t>
  </si>
  <si>
    <t>是</t>
  </si>
  <si>
    <t>轴向载荷和径向载荷</t>
  </si>
  <si>
    <t>KN</t>
  </si>
  <si>
    <t>抗弯矩</t>
  </si>
  <si>
    <t>交叉滚子轴承型号</t>
  </si>
  <si>
    <t>电机的转子惯量</t>
  </si>
  <si>
    <t>kgmm²</t>
  </si>
  <si>
    <t>扭矩密度</t>
  </si>
  <si>
    <t>Nm/kg</t>
  </si>
  <si>
    <t>极对数</t>
  </si>
  <si>
    <t>相电阻</t>
  </si>
  <si>
    <r>
      <rPr>
        <sz val="14"/>
        <color rgb="FF000000"/>
        <rFont val="Times New Roman"/>
        <charset val="134"/>
      </rPr>
      <t>mΩ</t>
    </r>
  </si>
  <si>
    <t>相电感</t>
  </si>
  <si>
    <t>μH</t>
  </si>
  <si>
    <t>防护等级</t>
  </si>
  <si>
    <t>总电容量</t>
  </si>
  <si>
    <t>μF</t>
  </si>
  <si>
    <t>线圈匝数与线径</t>
  </si>
  <si>
    <t>是否支持防水</t>
  </si>
  <si>
    <t>是否中空及中空孔直径</t>
  </si>
  <si>
    <t>是否带刹车</t>
  </si>
  <si>
    <t>噪音分贝值</t>
  </si>
  <si>
    <t>dB</t>
  </si>
  <si>
    <t>反驱阻尼</t>
  </si>
  <si>
    <t>电机编号</t>
  </si>
  <si>
    <t>EC-10020-P2-24</t>
  </si>
  <si>
    <t>最大相电流</t>
  </si>
  <si>
    <t>电压</t>
  </si>
  <si>
    <t>电池72V</t>
  </si>
  <si>
    <t>测试方向</t>
  </si>
  <si>
    <t>正向</t>
  </si>
  <si>
    <t>扭矩(Nm)</t>
  </si>
  <si>
    <t>反馈相电流(A)</t>
  </si>
  <si>
    <t>期望相电流(A)</t>
  </si>
  <si>
    <t>母线电流(A)</t>
  </si>
  <si>
    <t>温度</t>
  </si>
  <si>
    <t>扭矩系数(Nm/A)</t>
  </si>
  <si>
    <t>输入功率(W)</t>
  </si>
  <si>
    <t>平均扭矩系数(Nm/A)</t>
  </si>
  <si>
    <t>最大扭矩系数(Nm/A)</t>
  </si>
  <si>
    <t>最大相电流(A)</t>
  </si>
  <si>
    <t>测试设备</t>
  </si>
  <si>
    <t>电池 72V</t>
  </si>
  <si>
    <t>相电流(A)</t>
  </si>
  <si>
    <t>转速(RPM)</t>
  </si>
  <si>
    <t>电机温度</t>
  </si>
  <si>
    <t>输出功率(W)</t>
  </si>
  <si>
    <t>效率%</t>
  </si>
  <si>
    <t>供电设备</t>
  </si>
  <si>
    <t>注意</t>
  </si>
  <si>
    <t>重点找到线圈温度100°平衡点</t>
  </si>
  <si>
    <t>起始温度</t>
  </si>
  <si>
    <t>截止温度</t>
  </si>
  <si>
    <t>输入功率</t>
  </si>
  <si>
    <t>测试时间</t>
  </si>
  <si>
    <t>线圈</t>
  </si>
  <si>
    <t>驱动</t>
  </si>
  <si>
    <t>外壳</t>
  </si>
  <si>
    <t>42分13秒</t>
  </si>
  <si>
    <t>温升平衡点</t>
  </si>
  <si>
    <t>49分39秒</t>
  </si>
  <si>
    <t>驱动过温</t>
  </si>
  <si>
    <t>26分04秒</t>
  </si>
  <si>
    <t>正常</t>
  </si>
  <si>
    <t>24分30秒</t>
  </si>
  <si>
    <t>21分30秒</t>
  </si>
  <si>
    <t>18分25秒</t>
  </si>
  <si>
    <t>11分58秒</t>
  </si>
  <si>
    <t>五分之一峰值转速测试，重点找到线圈温度100°平衡点</t>
  </si>
  <si>
    <t>效率</t>
  </si>
  <si>
    <t>时间</t>
  </si>
  <si>
    <t>46分44秒</t>
  </si>
  <si>
    <t>平衡点</t>
  </si>
  <si>
    <t>封盖测试</t>
  </si>
  <si>
    <t>41分16秒</t>
  </si>
  <si>
    <t>26分15秒</t>
  </si>
  <si>
    <t>25分26秒</t>
  </si>
  <si>
    <t>13分58秒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</si>
</sst>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36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2"/>
      <color rgb="FF000000"/>
      <name val="宋体"/>
      <charset val="134"/>
    </font>
    <font>
      <sz val="10"/>
      <color rgb="FF000000"/>
      <name val="等线"/>
      <charset val="134"/>
    </font>
    <font>
      <sz val="12"/>
      <color rgb="FFFE0300"/>
      <name val="宋体"/>
      <charset val="134"/>
    </font>
    <font>
      <sz val="11"/>
      <color rgb="FF000000"/>
      <name val="等线"/>
      <charset val="134"/>
    </font>
    <font>
      <u/>
      <sz val="10"/>
      <color rgb="FF800080"/>
      <name val="等线"/>
      <charset val="134"/>
    </font>
    <font>
      <sz val="10"/>
      <color rgb="FFFE0300"/>
      <name val="等线"/>
      <charset val="134"/>
    </font>
    <font>
      <sz val="10"/>
      <name val="等线"/>
      <charset val="134"/>
      <scheme val="minor"/>
    </font>
    <font>
      <sz val="11"/>
      <color rgb="FF008000"/>
      <name val="等线"/>
      <charset val="134"/>
    </font>
    <font>
      <sz val="14"/>
      <color rgb="FF000000"/>
      <name val="宋体"/>
      <charset val="134"/>
    </font>
    <font>
      <i/>
      <sz val="11"/>
      <color rgb="FF3F3F3F"/>
      <name val="宋体"/>
      <charset val="134"/>
    </font>
    <font>
      <sz val="14"/>
      <color rgb="FF000000"/>
      <name val="Times New Roman"/>
      <charset val="134"/>
    </font>
    <font>
      <sz val="11"/>
      <color rgb="FF000000"/>
      <name val="宋体"/>
      <charset val="134"/>
    </font>
    <font>
      <sz val="14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2" applyNumberFormat="0" applyAlignment="0" applyProtection="0">
      <alignment vertical="center"/>
    </xf>
    <xf numFmtId="0" fontId="26" fillId="6" borderId="13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7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Protection="1">
      <alignment vertical="center"/>
    </xf>
    <xf numFmtId="0" fontId="4" fillId="0" borderId="1" xfId="0" applyFont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Protection="1">
      <alignment vertical="center"/>
    </xf>
    <xf numFmtId="0" fontId="3" fillId="0" borderId="4" xfId="0" applyFont="1" applyBorder="1" applyProtection="1">
      <alignment vertical="center"/>
    </xf>
    <xf numFmtId="0" fontId="1" fillId="0" borderId="1" xfId="0" applyFont="1" applyBorder="1" applyProtection="1">
      <alignment vertical="center"/>
    </xf>
    <xf numFmtId="0" fontId="8" fillId="0" borderId="0" xfId="0" applyFont="1">
      <alignment vertical="center"/>
    </xf>
    <xf numFmtId="0" fontId="2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top" wrapText="1"/>
    </xf>
    <xf numFmtId="0" fontId="3" fillId="0" borderId="7" xfId="0" applyFont="1" applyBorder="1" applyProtection="1">
      <alignment vertical="center"/>
    </xf>
    <xf numFmtId="0" fontId="3" fillId="0" borderId="0" xfId="0" applyFont="1">
      <alignment vertical="center"/>
    </xf>
    <xf numFmtId="0" fontId="10" fillId="0" borderId="1" xfId="0" applyFont="1" applyBorder="1" applyAlignment="1" applyProtection="1">
      <alignment horizontal="center" vertical="top" wrapText="1"/>
    </xf>
    <xf numFmtId="0" fontId="12" fillId="0" borderId="1" xfId="0" applyFont="1" applyBorder="1" applyAlignment="1" applyProtection="1">
      <alignment horizontal="center" vertical="top" wrapText="1"/>
    </xf>
    <xf numFmtId="0" fontId="13" fillId="0" borderId="1" xfId="0" applyFont="1" applyBorder="1" applyAlignment="1" applyProtection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0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0" fillId="0" borderId="1" xfId="0" applyNumberFormat="1" applyFont="1" applyBorder="1" applyAlignment="1" applyProtection="1">
      <alignment horizontal="center" vertical="center"/>
    </xf>
    <xf numFmtId="0" fontId="10" fillId="3" borderId="1" xfId="0" applyFont="1" applyFill="1" applyBorder="1" applyAlignment="1" applyProtection="1">
      <alignment horizontal="center" vertical="top" wrapText="1"/>
    </xf>
    <xf numFmtId="176" fontId="13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1" xfId="0" applyFont="1" applyFill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37"/>
  <sheetViews>
    <sheetView tabSelected="1" workbookViewId="0">
      <selection activeCell="A1" sqref="A1:E1"/>
    </sheetView>
  </sheetViews>
  <sheetFormatPr defaultColWidth="9" defaultRowHeight="13.5" customHeight="1"/>
  <cols>
    <col min="1" max="1" width="23.6692307692308" style="34" customWidth="1"/>
    <col min="2" max="2" width="10.6615384615385" style="34" customWidth="1"/>
    <col min="3" max="3" width="13.5" style="34" customWidth="1"/>
    <col min="4" max="4" width="19.1692307692308" style="34"/>
    <col min="5" max="5" width="16.3307692307692" style="1" customWidth="1"/>
  </cols>
  <sheetData>
    <row r="1" s="19" customFormat="1" customHeight="1" spans="1:14">
      <c r="A1" s="35" t="s">
        <v>0</v>
      </c>
      <c r="B1" s="30"/>
      <c r="C1" s="30"/>
      <c r="D1" s="30"/>
      <c r="E1" s="30"/>
      <c r="F1" s="35"/>
      <c r="G1" s="35"/>
    </row>
    <row r="2" ht="18" customHeight="1" spans="1:14">
      <c r="A2" s="36" t="s">
        <v>1</v>
      </c>
      <c r="B2" s="36" t="s">
        <v>2</v>
      </c>
      <c r="C2" s="5"/>
      <c r="D2" s="37" t="s">
        <v>3</v>
      </c>
      <c r="E2" s="36" t="s">
        <v>4</v>
      </c>
    </row>
    <row r="3" ht="18" customHeight="1" spans="1:14">
      <c r="A3" s="36" t="s">
        <v>5</v>
      </c>
      <c r="B3" s="36" t="s">
        <v>6</v>
      </c>
      <c r="C3" s="36" t="s">
        <v>7</v>
      </c>
      <c r="D3" s="38" t="s">
        <v>8</v>
      </c>
      <c r="E3" s="39"/>
      <c r="G3" s="40"/>
      <c r="H3" s="40"/>
      <c r="I3" s="40"/>
      <c r="J3" s="40"/>
      <c r="K3" s="40"/>
      <c r="L3" s="40"/>
      <c r="M3" s="40"/>
      <c r="N3" s="40"/>
    </row>
    <row r="4" ht="18" customHeight="1" spans="1:14">
      <c r="A4" s="41" t="s">
        <v>9</v>
      </c>
      <c r="B4" s="42"/>
      <c r="C4" s="36">
        <v>24</v>
      </c>
      <c r="D4" s="41" t="s">
        <v>10</v>
      </c>
      <c r="E4" s="5"/>
      <c r="F4" s="40"/>
      <c r="G4" s="40"/>
      <c r="H4" s="40"/>
      <c r="I4" s="40"/>
      <c r="J4" s="40"/>
      <c r="K4" s="40"/>
      <c r="L4" s="40"/>
      <c r="M4" s="40"/>
      <c r="N4" s="40"/>
    </row>
    <row r="5" ht="20.25" customHeight="1" spans="1:14">
      <c r="A5" s="41" t="s">
        <v>11</v>
      </c>
      <c r="B5" s="42" t="s">
        <v>12</v>
      </c>
      <c r="C5" s="36">
        <v>72</v>
      </c>
      <c r="D5" s="41" t="s">
        <v>13</v>
      </c>
      <c r="E5" s="43"/>
      <c r="F5" s="44"/>
      <c r="G5" s="40"/>
      <c r="H5" s="40"/>
      <c r="I5" s="40"/>
      <c r="J5" s="40"/>
      <c r="K5" s="40"/>
      <c r="L5" s="40"/>
      <c r="M5" s="40"/>
      <c r="N5" s="40"/>
    </row>
    <row r="6" ht="20.25" customHeight="1" spans="1:14">
      <c r="A6" s="41" t="s">
        <v>14</v>
      </c>
      <c r="B6" s="42" t="s">
        <v>15</v>
      </c>
      <c r="C6" s="36"/>
      <c r="D6" s="41" t="s">
        <v>16</v>
      </c>
      <c r="E6" s="43"/>
      <c r="F6" s="44"/>
      <c r="G6" s="40"/>
      <c r="H6" s="40"/>
      <c r="I6" s="40"/>
      <c r="J6" s="40"/>
      <c r="K6" s="40"/>
      <c r="L6" s="40"/>
      <c r="M6" s="40"/>
      <c r="N6" s="40"/>
    </row>
    <row r="7" ht="20.25" customHeight="1" spans="1:14">
      <c r="A7" s="41" t="s">
        <v>17</v>
      </c>
      <c r="B7" s="42" t="s">
        <v>15</v>
      </c>
      <c r="C7" s="36">
        <v>45.61</v>
      </c>
      <c r="D7" s="41" t="s">
        <v>18</v>
      </c>
      <c r="E7" s="43"/>
      <c r="F7" s="44"/>
      <c r="G7" s="40"/>
      <c r="H7" s="40"/>
      <c r="I7" s="40"/>
      <c r="J7" s="40"/>
      <c r="K7" s="40"/>
      <c r="L7" s="40"/>
      <c r="M7" s="40"/>
      <c r="N7" s="40"/>
    </row>
    <row r="8" ht="20.25" customHeight="1" spans="1:14">
      <c r="A8" s="41" t="s">
        <v>19</v>
      </c>
      <c r="B8" s="42" t="s">
        <v>20</v>
      </c>
      <c r="C8" s="45">
        <v>1730</v>
      </c>
      <c r="D8" s="41" t="s">
        <v>21</v>
      </c>
      <c r="E8" s="46"/>
      <c r="F8" s="44"/>
      <c r="G8" s="40"/>
      <c r="H8" s="40"/>
      <c r="I8" s="40"/>
      <c r="J8" s="40"/>
      <c r="K8" s="40"/>
      <c r="L8" s="40"/>
      <c r="M8" s="40"/>
      <c r="N8" s="40"/>
    </row>
    <row r="9" ht="20.25" customHeight="1" spans="1:14">
      <c r="A9" s="41" t="s">
        <v>22</v>
      </c>
      <c r="B9" s="42" t="s">
        <v>23</v>
      </c>
      <c r="C9" s="36">
        <v>150.46</v>
      </c>
      <c r="D9" s="41" t="s">
        <v>24</v>
      </c>
      <c r="E9" s="43"/>
      <c r="F9" s="44"/>
      <c r="G9" s="40"/>
      <c r="H9" s="40"/>
      <c r="I9" s="40"/>
      <c r="J9" s="40"/>
      <c r="K9" s="40"/>
      <c r="L9" s="40"/>
      <c r="M9" s="40"/>
      <c r="N9" s="40"/>
    </row>
    <row r="10" ht="20.25" customHeight="1" spans="1:14">
      <c r="A10" s="41" t="s">
        <v>25</v>
      </c>
      <c r="B10" s="42" t="s">
        <v>26</v>
      </c>
      <c r="C10" s="36">
        <v>110</v>
      </c>
      <c r="D10" s="47"/>
      <c r="E10" s="48"/>
      <c r="F10" s="44"/>
      <c r="G10" s="40"/>
      <c r="H10" s="40"/>
      <c r="I10" s="40"/>
      <c r="J10" s="40"/>
      <c r="K10" s="40"/>
      <c r="L10" s="40"/>
      <c r="M10" s="40"/>
      <c r="N10" s="40"/>
    </row>
    <row r="11" ht="20.25" customHeight="1" spans="1:14">
      <c r="A11" s="41" t="s">
        <v>27</v>
      </c>
      <c r="B11" s="42" t="s">
        <v>23</v>
      </c>
      <c r="C11" s="36">
        <v>183</v>
      </c>
      <c r="D11" s="48"/>
      <c r="E11" s="49"/>
      <c r="F11" s="44"/>
      <c r="G11" s="40"/>
      <c r="H11" s="40"/>
      <c r="I11" s="40"/>
      <c r="J11" s="40"/>
      <c r="K11" s="40"/>
      <c r="L11" s="40"/>
      <c r="M11" s="40"/>
      <c r="N11" s="40"/>
    </row>
    <row r="12" ht="20.25" customHeight="1" spans="1:14">
      <c r="A12" s="41" t="s">
        <v>28</v>
      </c>
      <c r="B12" s="42" t="s">
        <v>15</v>
      </c>
      <c r="C12" s="36">
        <v>140</v>
      </c>
      <c r="D12" s="48"/>
      <c r="E12" s="49"/>
      <c r="F12" s="44"/>
      <c r="G12" s="40"/>
      <c r="H12" s="40"/>
      <c r="I12" s="40"/>
      <c r="J12" s="40"/>
      <c r="K12" s="40"/>
      <c r="L12" s="40"/>
      <c r="M12" s="40"/>
      <c r="N12" s="40"/>
    </row>
    <row r="13" ht="20.25" customHeight="1" spans="1:14">
      <c r="A13" s="41" t="s">
        <v>29</v>
      </c>
      <c r="B13" s="42" t="s">
        <v>26</v>
      </c>
      <c r="C13" s="36">
        <v>330</v>
      </c>
      <c r="D13" s="48"/>
      <c r="E13" s="49"/>
      <c r="F13" s="44"/>
      <c r="G13" s="40"/>
      <c r="H13" s="40"/>
      <c r="I13" s="40"/>
      <c r="J13" s="40"/>
      <c r="K13" s="40"/>
      <c r="L13" s="40"/>
      <c r="M13" s="40"/>
      <c r="N13" s="40"/>
    </row>
    <row r="14" ht="18" customHeight="1" spans="1:14">
      <c r="A14" s="41" t="s">
        <v>30</v>
      </c>
      <c r="B14" s="42"/>
      <c r="C14" s="50">
        <v>0.75</v>
      </c>
      <c r="D14" s="48"/>
      <c r="E14" s="49"/>
      <c r="F14" s="44"/>
      <c r="G14" s="40"/>
      <c r="H14" s="40"/>
      <c r="I14" s="40"/>
      <c r="J14" s="40"/>
      <c r="K14" s="40"/>
      <c r="L14" s="40"/>
      <c r="M14" s="40"/>
      <c r="N14" s="40"/>
    </row>
    <row r="15" ht="20.25" customHeight="1" spans="1:14">
      <c r="A15" s="41" t="s">
        <v>31</v>
      </c>
      <c r="B15" s="42" t="s">
        <v>32</v>
      </c>
      <c r="C15" s="36">
        <v>2.6</v>
      </c>
      <c r="D15" s="48"/>
      <c r="E15" s="48"/>
      <c r="F15" s="44"/>
      <c r="G15" s="40"/>
      <c r="H15" s="40"/>
      <c r="I15" s="40"/>
      <c r="J15" s="40"/>
      <c r="K15" s="40"/>
      <c r="L15" s="40"/>
      <c r="M15" s="40"/>
      <c r="N15" s="40"/>
    </row>
    <row r="16" ht="20.25" customHeight="1" spans="1:14">
      <c r="A16" s="41" t="s">
        <v>33</v>
      </c>
      <c r="B16" s="42" t="s">
        <v>34</v>
      </c>
      <c r="C16" s="36">
        <v>2180</v>
      </c>
      <c r="D16" s="48"/>
      <c r="E16" s="48"/>
      <c r="F16" s="44"/>
      <c r="G16" s="40"/>
      <c r="H16" s="40"/>
      <c r="I16" s="40"/>
      <c r="J16" s="40"/>
      <c r="K16" s="40"/>
      <c r="L16" s="40"/>
      <c r="M16" s="40"/>
      <c r="N16" s="40"/>
    </row>
    <row r="17" ht="20.25" customHeight="1" spans="1:14">
      <c r="A17" s="41" t="s">
        <v>35</v>
      </c>
      <c r="B17" s="42" t="s">
        <v>36</v>
      </c>
      <c r="C17" s="36">
        <v>20</v>
      </c>
      <c r="D17" s="48"/>
      <c r="E17" s="48"/>
      <c r="F17" s="44"/>
      <c r="G17" s="40"/>
      <c r="H17" s="40"/>
      <c r="I17" s="40"/>
      <c r="J17" s="40"/>
      <c r="K17" s="40"/>
      <c r="L17" s="40"/>
      <c r="M17" s="40"/>
      <c r="N17" s="40"/>
    </row>
    <row r="18" ht="20.25" customHeight="1" spans="1:14">
      <c r="A18" s="51" t="s">
        <v>37</v>
      </c>
      <c r="B18" s="42" t="s">
        <v>38</v>
      </c>
      <c r="C18" s="36"/>
      <c r="D18" s="48"/>
      <c r="E18" s="48"/>
      <c r="F18" s="44"/>
      <c r="G18" s="40"/>
      <c r="H18" s="40"/>
      <c r="I18" s="40"/>
      <c r="J18" s="40"/>
      <c r="K18" s="40"/>
      <c r="L18" s="40"/>
      <c r="M18" s="40"/>
      <c r="N18" s="40"/>
    </row>
    <row r="19" ht="18" customHeight="1" spans="1:14">
      <c r="A19" s="41" t="s">
        <v>39</v>
      </c>
      <c r="B19" s="42"/>
      <c r="C19" s="36" t="s">
        <v>40</v>
      </c>
      <c r="D19" s="48"/>
      <c r="E19" s="48"/>
      <c r="F19" s="44"/>
      <c r="G19" s="40"/>
      <c r="H19" s="40"/>
      <c r="I19" s="40"/>
      <c r="J19" s="40"/>
      <c r="K19" s="40"/>
      <c r="L19" s="40"/>
      <c r="M19" s="40"/>
      <c r="N19" s="40"/>
    </row>
    <row r="20" ht="18" customHeight="1" spans="1:14">
      <c r="A20" s="41" t="s">
        <v>41</v>
      </c>
      <c r="B20" s="42"/>
      <c r="C20" s="36" t="s">
        <v>42</v>
      </c>
      <c r="D20" s="48"/>
      <c r="E20" s="48"/>
      <c r="F20" s="44"/>
      <c r="G20" s="40"/>
      <c r="H20" s="40"/>
      <c r="I20" s="40"/>
      <c r="J20" s="40"/>
      <c r="K20" s="40"/>
      <c r="L20" s="40"/>
      <c r="M20" s="40"/>
      <c r="N20" s="40"/>
    </row>
    <row r="21" ht="18" customHeight="1" spans="1:14">
      <c r="A21" s="41" t="s">
        <v>43</v>
      </c>
      <c r="B21" s="42"/>
      <c r="C21" s="36" t="s">
        <v>44</v>
      </c>
      <c r="D21" s="48"/>
      <c r="E21" s="48"/>
      <c r="F21" s="44"/>
      <c r="G21" s="40"/>
      <c r="H21" s="40"/>
      <c r="I21" s="40"/>
      <c r="J21" s="40"/>
      <c r="K21" s="40"/>
      <c r="L21" s="40"/>
      <c r="M21" s="40"/>
      <c r="N21" s="40"/>
    </row>
    <row r="22" ht="20.25" customHeight="1" spans="1:14">
      <c r="A22" s="51" t="s">
        <v>45</v>
      </c>
      <c r="B22" s="42" t="s">
        <v>46</v>
      </c>
      <c r="C22" s="36"/>
      <c r="D22" s="48"/>
      <c r="E22" s="48"/>
      <c r="F22" s="44"/>
      <c r="G22" s="40"/>
      <c r="H22" s="40"/>
      <c r="I22" s="40"/>
      <c r="J22" s="40"/>
      <c r="K22" s="40"/>
      <c r="L22" s="40"/>
      <c r="M22" s="40"/>
      <c r="N22" s="40"/>
    </row>
    <row r="23" ht="20.25" customHeight="1" spans="1:14">
      <c r="A23" s="51" t="s">
        <v>47</v>
      </c>
      <c r="B23" s="42" t="s">
        <v>26</v>
      </c>
      <c r="C23" s="36"/>
      <c r="D23" s="48"/>
      <c r="E23" s="48"/>
      <c r="F23" s="44"/>
      <c r="G23" s="52"/>
      <c r="H23" s="52"/>
      <c r="I23" s="52"/>
      <c r="J23" s="53"/>
      <c r="K23" s="54"/>
    </row>
    <row r="24" ht="18" customHeight="1" spans="1:14">
      <c r="A24" s="51" t="s">
        <v>48</v>
      </c>
      <c r="B24" s="42"/>
      <c r="C24" s="36"/>
      <c r="D24" s="55"/>
      <c r="E24" s="18"/>
    </row>
    <row r="25" ht="20.25" customHeight="1" spans="1:14">
      <c r="A25" s="51" t="s">
        <v>49</v>
      </c>
      <c r="B25" s="42" t="s">
        <v>50</v>
      </c>
      <c r="C25" s="36"/>
      <c r="D25" s="55"/>
      <c r="E25" s="18"/>
    </row>
    <row r="26" ht="20.25" customHeight="1" spans="1:14">
      <c r="A26" s="41" t="s">
        <v>51</v>
      </c>
      <c r="B26" s="42" t="s">
        <v>52</v>
      </c>
      <c r="C26" s="36">
        <v>151.38</v>
      </c>
      <c r="D26" s="55"/>
      <c r="E26" s="18"/>
    </row>
    <row r="27" ht="18" customHeight="1" spans="1:14">
      <c r="A27" s="41" t="s">
        <v>53</v>
      </c>
      <c r="B27" s="42"/>
      <c r="C27" s="36"/>
      <c r="D27" s="55"/>
      <c r="E27" s="18"/>
    </row>
    <row r="28" ht="20.25" customHeight="1" spans="1:14">
      <c r="A28" s="41" t="s">
        <v>54</v>
      </c>
      <c r="B28" s="42" t="s">
        <v>55</v>
      </c>
      <c r="C28" s="36"/>
      <c r="D28" s="55"/>
      <c r="E28" s="18"/>
    </row>
    <row r="29" ht="20.25" customHeight="1" spans="1:14">
      <c r="A29" s="41" t="s">
        <v>56</v>
      </c>
      <c r="B29" s="42" t="s">
        <v>57</v>
      </c>
      <c r="C29" s="36"/>
      <c r="D29" s="55"/>
      <c r="E29" s="18"/>
    </row>
    <row r="30" ht="18" customHeight="1" spans="1:14">
      <c r="A30" s="41" t="s">
        <v>58</v>
      </c>
      <c r="B30" s="42"/>
      <c r="C30" s="36"/>
      <c r="D30" s="55"/>
      <c r="E30" s="18"/>
    </row>
    <row r="31" ht="20.25" customHeight="1" spans="1:14">
      <c r="A31" s="36" t="s">
        <v>59</v>
      </c>
      <c r="B31" s="42" t="s">
        <v>60</v>
      </c>
      <c r="C31" s="36"/>
      <c r="D31" s="55"/>
      <c r="E31" s="18"/>
    </row>
    <row r="32" ht="18" customHeight="1" spans="1:14">
      <c r="A32" s="56" t="s">
        <v>61</v>
      </c>
      <c r="B32" s="42"/>
      <c r="C32" s="36"/>
      <c r="D32" s="55"/>
      <c r="E32" s="18"/>
    </row>
    <row r="33" ht="18" customHeight="1" spans="1:5">
      <c r="A33" s="41" t="s">
        <v>62</v>
      </c>
      <c r="B33" s="42"/>
      <c r="C33" s="36"/>
      <c r="D33" s="55"/>
      <c r="E33" s="18"/>
    </row>
    <row r="34" ht="18" customHeight="1" spans="1:5">
      <c r="A34" s="56" t="s">
        <v>63</v>
      </c>
      <c r="B34" s="42" t="s">
        <v>38</v>
      </c>
      <c r="C34" s="36"/>
      <c r="D34" s="55"/>
      <c r="E34" s="18"/>
    </row>
    <row r="35" ht="18" customHeight="1" spans="1:5">
      <c r="A35" s="41" t="s">
        <v>64</v>
      </c>
      <c r="B35" s="42"/>
      <c r="C35" s="36"/>
      <c r="D35" s="55"/>
      <c r="E35" s="18"/>
    </row>
    <row r="36" ht="18" customHeight="1" spans="1:5">
      <c r="A36" s="57" t="s">
        <v>65</v>
      </c>
      <c r="B36" s="42" t="s">
        <v>66</v>
      </c>
      <c r="C36" s="57"/>
      <c r="D36" s="55"/>
      <c r="E36" s="18"/>
    </row>
    <row r="37" ht="18" customHeight="1" spans="1:5">
      <c r="A37" s="36" t="s">
        <v>67</v>
      </c>
      <c r="B37" s="42" t="s">
        <v>26</v>
      </c>
      <c r="C37" s="36"/>
      <c r="D37" s="55"/>
      <c r="E37" s="18"/>
    </row>
  </sheetData>
  <mergeCells count="3">
    <mergeCell ref="A1:E1"/>
    <mergeCell ref="B2:C2"/>
    <mergeCell ref="D3:E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26"/>
  <sheetViews>
    <sheetView workbookViewId="0">
      <selection activeCell="A1" sqref="A1"/>
    </sheetView>
  </sheetViews>
  <sheetFormatPr defaultColWidth="9" defaultRowHeight="13.5" customHeight="1"/>
  <cols>
    <col min="1" max="1" width="9.16153846153846" style="2"/>
    <col min="2" max="2" width="14.1615384615385" style="2"/>
    <col min="3" max="3" width="14.1615384615385" style="1"/>
    <col min="4" max="4" width="12.1615384615385" style="1"/>
    <col min="5" max="5" width="6" style="1" customWidth="1"/>
    <col min="6" max="6" width="15.1615384615385" style="1"/>
    <col min="7" max="7" width="10.1692307692308" style="2"/>
    <col min="8" max="8" width="16" style="1"/>
  </cols>
  <sheetData>
    <row r="1" s="30" customFormat="1" ht="15.75" customHeight="1" spans="1:13">
      <c r="A1" s="3" t="s">
        <v>68</v>
      </c>
      <c r="B1" s="3" t="s">
        <v>69</v>
      </c>
      <c r="C1" s="3" t="s">
        <v>70</v>
      </c>
      <c r="D1" s="3">
        <v>140</v>
      </c>
      <c r="E1" s="3" t="s">
        <v>71</v>
      </c>
      <c r="F1" s="3" t="s">
        <v>72</v>
      </c>
      <c r="G1" s="3" t="s">
        <v>73</v>
      </c>
      <c r="H1" s="3" t="s">
        <v>74</v>
      </c>
      <c r="I1" s="31"/>
      <c r="J1" s="31"/>
      <c r="K1" s="31"/>
      <c r="L1" s="31"/>
      <c r="M1" s="31"/>
    </row>
    <row r="2" ht="15.75" customHeight="1" spans="1:13">
      <c r="A2" s="28" t="s">
        <v>75</v>
      </c>
      <c r="B2" s="28" t="s">
        <v>76</v>
      </c>
      <c r="C2" s="28" t="s">
        <v>77</v>
      </c>
      <c r="D2" s="28" t="s">
        <v>78</v>
      </c>
      <c r="E2" s="28" t="s">
        <v>79</v>
      </c>
      <c r="F2" s="3" t="s">
        <v>80</v>
      </c>
      <c r="G2" s="5" t="s">
        <v>81</v>
      </c>
      <c r="H2" s="5" t="s">
        <v>82</v>
      </c>
      <c r="I2" s="31"/>
    </row>
    <row r="3" customHeight="1" spans="1:13">
      <c r="A3" s="29">
        <v>0.8</v>
      </c>
      <c r="B3" s="18">
        <v>1.5</v>
      </c>
      <c r="C3" s="30">
        <v>2.06</v>
      </c>
      <c r="D3" s="18">
        <v>0</v>
      </c>
      <c r="E3" s="30">
        <v>33</v>
      </c>
      <c r="F3" s="32">
        <f t="shared" ref="F3:F66" si="0">A3/B3</f>
        <v>0.533333333333333</v>
      </c>
      <c r="H3" s="33">
        <f>AVERAGE(F36:F126)</f>
        <v>2.55510453517847</v>
      </c>
    </row>
    <row r="4" ht="14.25" customHeight="1" spans="1:13">
      <c r="A4" s="29">
        <v>1.3</v>
      </c>
      <c r="B4" s="18">
        <v>2.33</v>
      </c>
      <c r="C4" s="30">
        <v>3.01</v>
      </c>
      <c r="D4" s="18">
        <v>0</v>
      </c>
      <c r="E4" s="30">
        <v>33</v>
      </c>
      <c r="F4" s="32">
        <f t="shared" si="0"/>
        <v>0.55793991416309</v>
      </c>
      <c r="H4" s="31" t="s">
        <v>83</v>
      </c>
    </row>
    <row r="5" customHeight="1" spans="1:13">
      <c r="A5" s="29">
        <v>1.4</v>
      </c>
      <c r="B5" s="18">
        <v>2.7</v>
      </c>
      <c r="C5" s="30">
        <v>3.99</v>
      </c>
      <c r="D5" s="18">
        <v>0</v>
      </c>
      <c r="E5" s="30">
        <v>33</v>
      </c>
      <c r="F5" s="32">
        <f t="shared" si="0"/>
        <v>0.518518518518518</v>
      </c>
      <c r="H5" s="33">
        <f>MAX(F:F)</f>
        <v>2.81697089294524</v>
      </c>
    </row>
    <row r="6" ht="14.25" customHeight="1" spans="1:13">
      <c r="A6" s="29">
        <v>1.7</v>
      </c>
      <c r="B6" s="18">
        <v>7.5</v>
      </c>
      <c r="C6" s="30">
        <v>4.97</v>
      </c>
      <c r="D6" s="18">
        <v>0</v>
      </c>
      <c r="E6" s="30">
        <v>33</v>
      </c>
      <c r="F6" s="32">
        <f t="shared" si="0"/>
        <v>0.226666666666667</v>
      </c>
      <c r="H6" s="31" t="s">
        <v>29</v>
      </c>
    </row>
    <row r="7" customHeight="1" spans="1:13">
      <c r="A7" s="29">
        <v>12.7</v>
      </c>
      <c r="B7" s="18">
        <v>5.74</v>
      </c>
      <c r="C7" s="30">
        <v>5.95</v>
      </c>
      <c r="D7" s="18">
        <v>0</v>
      </c>
      <c r="E7" s="30">
        <v>33</v>
      </c>
      <c r="F7" s="32">
        <f t="shared" si="0"/>
        <v>2.21254355400697</v>
      </c>
      <c r="G7" s="19"/>
      <c r="H7" s="33">
        <f>MAX(A:A)</f>
        <v>330.7</v>
      </c>
    </row>
    <row r="8" customHeight="1" spans="1:13">
      <c r="A8" s="29">
        <v>17.9</v>
      </c>
      <c r="B8" s="18">
        <v>6.77</v>
      </c>
      <c r="C8" s="30">
        <v>6.93</v>
      </c>
      <c r="D8" s="18">
        <v>0</v>
      </c>
      <c r="E8" s="30">
        <v>33</v>
      </c>
      <c r="F8" s="32">
        <f t="shared" si="0"/>
        <v>2.64401772525849</v>
      </c>
      <c r="G8" s="19"/>
      <c r="H8" s="19"/>
    </row>
    <row r="9" customHeight="1" spans="1:13">
      <c r="A9" s="29">
        <v>21.1</v>
      </c>
      <c r="B9" s="18">
        <v>8.71</v>
      </c>
      <c r="C9" s="30">
        <v>8.78</v>
      </c>
      <c r="D9" s="18">
        <v>0</v>
      </c>
      <c r="E9" s="30">
        <v>33</v>
      </c>
      <c r="F9" s="32">
        <f t="shared" si="0"/>
        <v>2.42250287026406</v>
      </c>
      <c r="G9" s="19"/>
      <c r="H9" s="19"/>
    </row>
    <row r="10" customHeight="1" spans="1:13">
      <c r="A10" s="29">
        <v>23.4</v>
      </c>
      <c r="B10" s="18">
        <v>9.65</v>
      </c>
      <c r="C10" s="30">
        <v>9.76</v>
      </c>
      <c r="D10" s="18">
        <v>0</v>
      </c>
      <c r="E10" s="30">
        <v>33</v>
      </c>
      <c r="F10" s="32">
        <f t="shared" si="0"/>
        <v>2.42487046632124</v>
      </c>
      <c r="G10" s="19"/>
      <c r="H10" s="19"/>
    </row>
    <row r="11" customHeight="1" spans="1:13">
      <c r="A11" s="29">
        <v>25.9</v>
      </c>
      <c r="B11" s="18">
        <v>10.65</v>
      </c>
      <c r="C11" s="30">
        <v>10.74</v>
      </c>
      <c r="D11" s="18">
        <v>0</v>
      </c>
      <c r="E11" s="30">
        <v>33</v>
      </c>
      <c r="F11" s="32">
        <f t="shared" si="0"/>
        <v>2.43192488262911</v>
      </c>
      <c r="G11" s="19"/>
      <c r="H11" s="19"/>
    </row>
    <row r="12" customHeight="1" spans="1:13">
      <c r="A12" s="29">
        <v>28.7</v>
      </c>
      <c r="B12" s="18">
        <v>11.7</v>
      </c>
      <c r="C12" s="30">
        <v>11.72</v>
      </c>
      <c r="D12" s="18">
        <v>0</v>
      </c>
      <c r="E12" s="30">
        <v>33</v>
      </c>
      <c r="F12" s="32">
        <f t="shared" si="0"/>
        <v>2.45299145299145</v>
      </c>
      <c r="G12" s="19"/>
      <c r="H12" s="19"/>
    </row>
    <row r="13" customHeight="1" spans="1:13">
      <c r="A13" s="29">
        <v>32.3</v>
      </c>
      <c r="B13" s="18">
        <v>12.49</v>
      </c>
      <c r="C13" s="30">
        <v>12.7</v>
      </c>
      <c r="D13" s="18">
        <v>0</v>
      </c>
      <c r="E13" s="30">
        <v>33</v>
      </c>
      <c r="F13" s="32">
        <f t="shared" si="0"/>
        <v>2.58606885508407</v>
      </c>
      <c r="G13" s="19"/>
      <c r="H13" s="19"/>
    </row>
    <row r="14" customHeight="1" spans="1:13">
      <c r="A14" s="29">
        <v>34.2</v>
      </c>
      <c r="B14" s="18">
        <v>13.36</v>
      </c>
      <c r="C14" s="30">
        <v>13.68</v>
      </c>
      <c r="D14" s="18">
        <v>0</v>
      </c>
      <c r="E14" s="30">
        <v>33</v>
      </c>
      <c r="F14" s="32">
        <f t="shared" si="0"/>
        <v>2.55988023952096</v>
      </c>
      <c r="G14" s="19"/>
      <c r="H14" s="19"/>
    </row>
    <row r="15" customHeight="1" spans="1:13">
      <c r="A15" s="29">
        <v>40.2</v>
      </c>
      <c r="B15" s="18">
        <v>15.42</v>
      </c>
      <c r="C15" s="30">
        <v>15.54</v>
      </c>
      <c r="D15" s="18">
        <v>0</v>
      </c>
      <c r="E15" s="30">
        <v>33</v>
      </c>
      <c r="F15" s="32">
        <f t="shared" si="0"/>
        <v>2.60700389105058</v>
      </c>
      <c r="G15" s="19"/>
      <c r="H15" s="19"/>
    </row>
    <row r="16" customHeight="1" spans="1:13">
      <c r="A16" s="29">
        <v>41.8</v>
      </c>
      <c r="B16" s="18">
        <v>16.57</v>
      </c>
      <c r="C16" s="30">
        <v>16.52</v>
      </c>
      <c r="D16" s="18">
        <v>0</v>
      </c>
      <c r="E16" s="30">
        <v>33</v>
      </c>
      <c r="F16" s="32">
        <f t="shared" si="0"/>
        <v>2.52263126131563</v>
      </c>
      <c r="G16" s="19"/>
      <c r="H16" s="19"/>
    </row>
    <row r="17" customHeight="1" spans="1:8">
      <c r="A17" s="29">
        <v>47</v>
      </c>
      <c r="B17" s="18">
        <v>17.43</v>
      </c>
      <c r="C17" s="30">
        <v>17.5</v>
      </c>
      <c r="D17" s="18">
        <v>0</v>
      </c>
      <c r="E17" s="30">
        <v>33</v>
      </c>
      <c r="F17" s="32">
        <f t="shared" si="0"/>
        <v>2.69650028686173</v>
      </c>
      <c r="G17" s="19"/>
      <c r="H17" s="19"/>
    </row>
    <row r="18" customHeight="1" spans="1:8">
      <c r="A18" s="29">
        <v>49</v>
      </c>
      <c r="B18" s="18">
        <v>18.33</v>
      </c>
      <c r="C18" s="30">
        <v>18.48</v>
      </c>
      <c r="D18" s="18">
        <v>0</v>
      </c>
      <c r="E18" s="30">
        <v>33</v>
      </c>
      <c r="F18" s="32">
        <f t="shared" si="0"/>
        <v>2.67321331151118</v>
      </c>
      <c r="G18" s="19"/>
      <c r="H18" s="19"/>
    </row>
    <row r="19" customHeight="1" spans="1:8">
      <c r="A19" s="29">
        <v>51.6</v>
      </c>
      <c r="B19" s="18">
        <v>19.2</v>
      </c>
      <c r="C19" s="30">
        <v>19.46</v>
      </c>
      <c r="D19" s="18">
        <v>0</v>
      </c>
      <c r="E19" s="30">
        <v>33</v>
      </c>
      <c r="F19" s="32">
        <f t="shared" si="0"/>
        <v>2.6875</v>
      </c>
      <c r="G19" s="19"/>
      <c r="H19" s="19"/>
    </row>
    <row r="20" customHeight="1" spans="1:8">
      <c r="A20" s="29">
        <v>57.1</v>
      </c>
      <c r="B20" s="18">
        <v>20.27</v>
      </c>
      <c r="C20" s="30">
        <v>20.44</v>
      </c>
      <c r="D20" s="18">
        <v>0</v>
      </c>
      <c r="E20" s="30">
        <v>33</v>
      </c>
      <c r="F20" s="32">
        <f t="shared" si="0"/>
        <v>2.81697089294524</v>
      </c>
      <c r="G20" s="19"/>
      <c r="H20" s="19"/>
    </row>
    <row r="21" customHeight="1" spans="1:8">
      <c r="A21" s="29">
        <v>58.9</v>
      </c>
      <c r="B21" s="18">
        <v>21.29</v>
      </c>
      <c r="C21" s="30">
        <v>21.42</v>
      </c>
      <c r="D21" s="18">
        <v>0</v>
      </c>
      <c r="E21" s="30">
        <v>33</v>
      </c>
      <c r="F21" s="32">
        <f t="shared" si="0"/>
        <v>2.7665570690465</v>
      </c>
      <c r="G21" s="19"/>
      <c r="H21" s="19"/>
    </row>
    <row r="22" customHeight="1" spans="1:8">
      <c r="A22" s="29">
        <v>60.8</v>
      </c>
      <c r="B22" s="18">
        <v>23.18</v>
      </c>
      <c r="C22" s="30">
        <v>23.27</v>
      </c>
      <c r="D22" s="18">
        <v>0</v>
      </c>
      <c r="E22" s="30">
        <v>33</v>
      </c>
      <c r="F22" s="32">
        <f t="shared" si="0"/>
        <v>2.62295081967213</v>
      </c>
      <c r="G22" s="19"/>
      <c r="H22" s="19"/>
    </row>
    <row r="23" customHeight="1" spans="1:8">
      <c r="A23" s="29">
        <v>63.8</v>
      </c>
      <c r="B23" s="18">
        <v>24.26</v>
      </c>
      <c r="C23" s="30">
        <v>24.25</v>
      </c>
      <c r="D23" s="18">
        <v>0</v>
      </c>
      <c r="E23" s="30">
        <v>33</v>
      </c>
      <c r="F23" s="32">
        <f t="shared" si="0"/>
        <v>2.62984336356142</v>
      </c>
      <c r="G23" s="19"/>
      <c r="H23" s="19"/>
    </row>
    <row r="24" customHeight="1" spans="1:8">
      <c r="A24" s="29">
        <v>67.4</v>
      </c>
      <c r="B24" s="18">
        <v>25.14</v>
      </c>
      <c r="C24" s="30">
        <v>25.23</v>
      </c>
      <c r="D24" s="18">
        <v>0</v>
      </c>
      <c r="E24" s="30">
        <v>33</v>
      </c>
      <c r="F24" s="32">
        <f t="shared" si="0"/>
        <v>2.68098647573588</v>
      </c>
      <c r="G24" s="19"/>
      <c r="H24" s="19"/>
    </row>
    <row r="25" customHeight="1" spans="1:8">
      <c r="A25" s="29">
        <v>69.9</v>
      </c>
      <c r="B25" s="18">
        <v>26</v>
      </c>
      <c r="C25" s="30">
        <v>26.21</v>
      </c>
      <c r="D25" s="18">
        <v>0</v>
      </c>
      <c r="E25" s="30">
        <v>33</v>
      </c>
      <c r="F25" s="32">
        <f t="shared" si="0"/>
        <v>2.68846153846154</v>
      </c>
      <c r="G25" s="19"/>
      <c r="H25" s="19"/>
    </row>
    <row r="26" customHeight="1" spans="1:8">
      <c r="A26" s="29">
        <v>72.7</v>
      </c>
      <c r="B26" s="18">
        <v>27.01</v>
      </c>
      <c r="C26" s="30">
        <v>27.19</v>
      </c>
      <c r="D26" s="18">
        <v>0</v>
      </c>
      <c r="E26" s="30">
        <v>33</v>
      </c>
      <c r="F26" s="32">
        <f t="shared" si="0"/>
        <v>2.69159570529434</v>
      </c>
      <c r="G26" s="19"/>
      <c r="H26" s="19"/>
    </row>
    <row r="27" customHeight="1" spans="1:8">
      <c r="A27" s="29">
        <v>77.1</v>
      </c>
      <c r="B27" s="18">
        <v>28.07</v>
      </c>
      <c r="C27" s="30">
        <v>28.17</v>
      </c>
      <c r="D27" s="18">
        <v>0</v>
      </c>
      <c r="E27" s="30">
        <v>33</v>
      </c>
      <c r="F27" s="32">
        <f t="shared" si="0"/>
        <v>2.74670466690417</v>
      </c>
      <c r="G27" s="19"/>
      <c r="H27" s="19"/>
    </row>
    <row r="28" customHeight="1" spans="1:8">
      <c r="A28" s="29">
        <v>80</v>
      </c>
      <c r="B28" s="18">
        <v>29.92</v>
      </c>
      <c r="C28" s="30">
        <v>30.03</v>
      </c>
      <c r="D28" s="18">
        <v>0</v>
      </c>
      <c r="E28" s="30">
        <v>33</v>
      </c>
      <c r="F28" s="32">
        <f t="shared" si="0"/>
        <v>2.67379679144385</v>
      </c>
      <c r="G28" s="19"/>
      <c r="H28" s="19"/>
    </row>
    <row r="29" customHeight="1" spans="1:8">
      <c r="A29" s="29">
        <v>81.9</v>
      </c>
      <c r="B29" s="18">
        <v>30.92</v>
      </c>
      <c r="C29" s="30">
        <v>31.01</v>
      </c>
      <c r="D29" s="18">
        <v>0</v>
      </c>
      <c r="E29" s="30">
        <v>33</v>
      </c>
      <c r="F29" s="32">
        <f t="shared" si="0"/>
        <v>2.64877102199224</v>
      </c>
      <c r="G29" s="19"/>
      <c r="H29" s="19"/>
    </row>
    <row r="30" customHeight="1" spans="1:8">
      <c r="A30" s="29">
        <v>83.7</v>
      </c>
      <c r="B30" s="18">
        <v>31.89</v>
      </c>
      <c r="C30" s="30">
        <v>31.99</v>
      </c>
      <c r="D30" s="18">
        <v>0</v>
      </c>
      <c r="E30" s="30">
        <v>33</v>
      </c>
      <c r="F30" s="32">
        <f t="shared" si="0"/>
        <v>2.62464722483537</v>
      </c>
      <c r="G30" s="19"/>
      <c r="H30" s="19"/>
    </row>
    <row r="31" customHeight="1" spans="1:8">
      <c r="A31" s="29">
        <v>85.9</v>
      </c>
      <c r="B31" s="18">
        <v>32.91</v>
      </c>
      <c r="C31" s="30">
        <v>32.97</v>
      </c>
      <c r="D31" s="18">
        <v>0</v>
      </c>
      <c r="E31" s="30">
        <v>33</v>
      </c>
      <c r="F31" s="32">
        <f t="shared" si="0"/>
        <v>2.61014889091462</v>
      </c>
      <c r="G31" s="19"/>
      <c r="H31" s="19"/>
    </row>
    <row r="32" customHeight="1" spans="1:8">
      <c r="A32" s="29">
        <v>88.6</v>
      </c>
      <c r="B32" s="18">
        <v>33.91</v>
      </c>
      <c r="C32" s="30">
        <v>33.95</v>
      </c>
      <c r="D32" s="18">
        <v>0</v>
      </c>
      <c r="E32" s="30">
        <v>33</v>
      </c>
      <c r="F32" s="32">
        <f t="shared" si="0"/>
        <v>2.61279858448835</v>
      </c>
      <c r="G32" s="19"/>
      <c r="H32" s="19"/>
    </row>
    <row r="33" customHeight="1" spans="1:8">
      <c r="A33" s="29">
        <v>91.9</v>
      </c>
      <c r="B33" s="18">
        <v>34.74</v>
      </c>
      <c r="C33" s="30">
        <v>34.93</v>
      </c>
      <c r="D33" s="18">
        <v>0</v>
      </c>
      <c r="E33" s="30">
        <v>33</v>
      </c>
      <c r="F33" s="32">
        <f t="shared" si="0"/>
        <v>2.64536557282671</v>
      </c>
      <c r="G33" s="19"/>
      <c r="H33" s="19"/>
    </row>
    <row r="34" customHeight="1" spans="1:8">
      <c r="A34" s="29">
        <v>94</v>
      </c>
      <c r="B34" s="18">
        <v>36.63</v>
      </c>
      <c r="C34" s="30">
        <v>36.78</v>
      </c>
      <c r="D34" s="18">
        <v>0</v>
      </c>
      <c r="E34" s="30">
        <v>33</v>
      </c>
      <c r="F34" s="32">
        <f t="shared" si="0"/>
        <v>2.56620256620257</v>
      </c>
      <c r="G34" s="19"/>
      <c r="H34" s="19"/>
    </row>
    <row r="35" customHeight="1" spans="1:8">
      <c r="A35" s="29">
        <v>96.6</v>
      </c>
      <c r="B35" s="18">
        <v>37.56</v>
      </c>
      <c r="C35" s="30">
        <v>37.76</v>
      </c>
      <c r="D35" s="18">
        <v>0</v>
      </c>
      <c r="E35" s="30">
        <v>33</v>
      </c>
      <c r="F35" s="32">
        <f t="shared" si="0"/>
        <v>2.57188498402556</v>
      </c>
      <c r="G35" s="19"/>
      <c r="H35" s="19"/>
    </row>
    <row r="36" customHeight="1" spans="1:8">
      <c r="A36" s="29">
        <v>101.2</v>
      </c>
      <c r="B36" s="18">
        <v>38.63</v>
      </c>
      <c r="C36" s="30">
        <v>38.74</v>
      </c>
      <c r="D36" s="18">
        <v>0</v>
      </c>
      <c r="E36" s="30">
        <v>33</v>
      </c>
      <c r="F36" s="32">
        <f t="shared" si="0"/>
        <v>2.61972560186384</v>
      </c>
      <c r="G36" s="19"/>
      <c r="H36" s="19"/>
    </row>
    <row r="37" customHeight="1" spans="1:8">
      <c r="A37" s="29">
        <v>106.1</v>
      </c>
      <c r="B37" s="18">
        <v>39.6</v>
      </c>
      <c r="C37" s="30">
        <v>39.72</v>
      </c>
      <c r="D37" s="18">
        <v>0</v>
      </c>
      <c r="E37" s="30">
        <v>33</v>
      </c>
      <c r="F37" s="32">
        <f t="shared" si="0"/>
        <v>2.67929292929293</v>
      </c>
      <c r="G37" s="19"/>
      <c r="H37" s="19"/>
    </row>
    <row r="38" customHeight="1" spans="1:8">
      <c r="A38" s="29">
        <v>107.6</v>
      </c>
      <c r="B38" s="18">
        <v>40.64</v>
      </c>
      <c r="C38" s="30">
        <v>40.7</v>
      </c>
      <c r="D38" s="18">
        <v>0</v>
      </c>
      <c r="E38" s="30">
        <v>33</v>
      </c>
      <c r="F38" s="32">
        <f t="shared" si="0"/>
        <v>2.64763779527559</v>
      </c>
      <c r="G38" s="19"/>
      <c r="H38" s="19"/>
    </row>
    <row r="39" customHeight="1" spans="1:8">
      <c r="A39" s="29">
        <v>109.3</v>
      </c>
      <c r="B39" s="18">
        <v>41.54</v>
      </c>
      <c r="C39" s="30">
        <v>41.68</v>
      </c>
      <c r="D39" s="18">
        <v>0</v>
      </c>
      <c r="E39" s="30">
        <v>33</v>
      </c>
      <c r="F39" s="32">
        <f t="shared" si="0"/>
        <v>2.63119884448724</v>
      </c>
      <c r="G39" s="19"/>
      <c r="H39" s="19"/>
    </row>
    <row r="40" customHeight="1" spans="1:8">
      <c r="A40" s="29">
        <v>111.7</v>
      </c>
      <c r="B40" s="18">
        <v>43.47</v>
      </c>
      <c r="C40" s="30">
        <v>43.54</v>
      </c>
      <c r="D40" s="18">
        <v>0</v>
      </c>
      <c r="E40" s="30">
        <v>33</v>
      </c>
      <c r="F40" s="32">
        <f t="shared" si="0"/>
        <v>2.56958822176213</v>
      </c>
      <c r="G40" s="19"/>
      <c r="H40" s="19"/>
    </row>
    <row r="41" customHeight="1" spans="1:8">
      <c r="A41" s="29">
        <v>115.4</v>
      </c>
      <c r="B41" s="18">
        <v>44.47</v>
      </c>
      <c r="C41" s="30">
        <v>44.52</v>
      </c>
      <c r="D41" s="18">
        <v>0</v>
      </c>
      <c r="E41" s="30">
        <v>33</v>
      </c>
      <c r="F41" s="32">
        <f t="shared" si="0"/>
        <v>2.59500787047448</v>
      </c>
      <c r="G41" s="19"/>
      <c r="H41" s="19"/>
    </row>
    <row r="42" customHeight="1" spans="1:8">
      <c r="A42" s="29">
        <v>119.5</v>
      </c>
      <c r="B42" s="18">
        <v>45.42</v>
      </c>
      <c r="C42" s="30">
        <v>45.5</v>
      </c>
      <c r="D42" s="18">
        <v>0</v>
      </c>
      <c r="E42" s="30">
        <v>33</v>
      </c>
      <c r="F42" s="32">
        <f t="shared" si="0"/>
        <v>2.63099955966535</v>
      </c>
      <c r="G42" s="19"/>
      <c r="H42" s="19"/>
    </row>
    <row r="43" customHeight="1" spans="1:8">
      <c r="A43" s="29">
        <v>121.8</v>
      </c>
      <c r="B43" s="18">
        <v>46.28</v>
      </c>
      <c r="C43" s="30">
        <v>46.48</v>
      </c>
      <c r="D43" s="18">
        <v>0</v>
      </c>
      <c r="E43" s="30">
        <v>33</v>
      </c>
      <c r="F43" s="32">
        <f t="shared" si="0"/>
        <v>2.63180639585134</v>
      </c>
      <c r="G43" s="19"/>
      <c r="H43" s="19"/>
    </row>
    <row r="44" customHeight="1" spans="1:8">
      <c r="A44" s="29">
        <v>125.7</v>
      </c>
      <c r="B44" s="18">
        <v>47.21</v>
      </c>
      <c r="C44" s="30">
        <v>47.46</v>
      </c>
      <c r="D44" s="18">
        <v>0</v>
      </c>
      <c r="E44" s="30">
        <v>33</v>
      </c>
      <c r="F44" s="32">
        <f t="shared" si="0"/>
        <v>2.66257148909129</v>
      </c>
      <c r="G44" s="19"/>
      <c r="H44" s="19"/>
    </row>
    <row r="45" customHeight="1" spans="1:8">
      <c r="A45" s="29">
        <v>132</v>
      </c>
      <c r="B45" s="18">
        <v>48.28</v>
      </c>
      <c r="C45" s="30">
        <v>48.44</v>
      </c>
      <c r="D45" s="18">
        <v>0</v>
      </c>
      <c r="E45" s="30">
        <v>33</v>
      </c>
      <c r="F45" s="32">
        <f t="shared" si="0"/>
        <v>2.73405136702568</v>
      </c>
      <c r="G45" s="19"/>
      <c r="H45" s="19"/>
    </row>
    <row r="46" customHeight="1" spans="1:8">
      <c r="A46" s="29">
        <v>134.1</v>
      </c>
      <c r="B46" s="18">
        <v>49.3</v>
      </c>
      <c r="C46" s="30">
        <v>49.42</v>
      </c>
      <c r="D46" s="18">
        <v>0</v>
      </c>
      <c r="E46" s="30">
        <v>33</v>
      </c>
      <c r="F46" s="32">
        <f t="shared" si="0"/>
        <v>2.72008113590264</v>
      </c>
      <c r="G46" s="19"/>
      <c r="H46" s="19"/>
    </row>
    <row r="47" customHeight="1" spans="1:8">
      <c r="A47" s="29">
        <v>135.6</v>
      </c>
      <c r="B47" s="18">
        <v>51.13</v>
      </c>
      <c r="C47" s="30">
        <v>51.27</v>
      </c>
      <c r="D47" s="18">
        <v>0</v>
      </c>
      <c r="E47" s="30">
        <v>33</v>
      </c>
      <c r="F47" s="32">
        <f t="shared" si="0"/>
        <v>2.65206336788578</v>
      </c>
      <c r="G47" s="19"/>
      <c r="H47" s="19"/>
    </row>
    <row r="48" customHeight="1" spans="1:8">
      <c r="A48" s="29">
        <v>137.5</v>
      </c>
      <c r="B48" s="18">
        <v>52.2</v>
      </c>
      <c r="C48" s="30">
        <v>52.25</v>
      </c>
      <c r="D48" s="18">
        <v>0</v>
      </c>
      <c r="E48" s="30">
        <v>33</v>
      </c>
      <c r="F48" s="32">
        <f t="shared" si="0"/>
        <v>2.63409961685824</v>
      </c>
      <c r="G48" s="19"/>
      <c r="H48" s="19"/>
    </row>
    <row r="49" customHeight="1" spans="1:8">
      <c r="A49" s="29">
        <v>140.4</v>
      </c>
      <c r="B49" s="18">
        <v>53.18</v>
      </c>
      <c r="C49" s="30">
        <v>53.23</v>
      </c>
      <c r="D49" s="18">
        <v>0</v>
      </c>
      <c r="E49" s="30">
        <v>33</v>
      </c>
      <c r="F49" s="32">
        <f t="shared" si="0"/>
        <v>2.64009025949605</v>
      </c>
      <c r="G49" s="19"/>
      <c r="H49" s="19"/>
    </row>
    <row r="50" customHeight="1" spans="1:8">
      <c r="A50" s="29">
        <v>145.7</v>
      </c>
      <c r="B50" s="18">
        <v>54.22</v>
      </c>
      <c r="C50" s="30">
        <v>54.21</v>
      </c>
      <c r="D50" s="18">
        <v>0</v>
      </c>
      <c r="E50" s="30">
        <v>33</v>
      </c>
      <c r="F50" s="32">
        <f t="shared" si="0"/>
        <v>2.68720029509406</v>
      </c>
      <c r="G50" s="19"/>
      <c r="H50" s="19"/>
    </row>
    <row r="51" customHeight="1" spans="1:8">
      <c r="A51" s="29">
        <v>149.1</v>
      </c>
      <c r="B51" s="18">
        <v>54.95</v>
      </c>
      <c r="C51" s="30">
        <v>55.19</v>
      </c>
      <c r="D51" s="18">
        <v>0</v>
      </c>
      <c r="E51" s="30">
        <v>33</v>
      </c>
      <c r="F51" s="32">
        <f t="shared" si="0"/>
        <v>2.71337579617834</v>
      </c>
      <c r="G51" s="19"/>
      <c r="H51" s="19"/>
    </row>
    <row r="52" customHeight="1" spans="1:8">
      <c r="A52" s="29">
        <v>152.2</v>
      </c>
      <c r="B52" s="18">
        <v>55.96</v>
      </c>
      <c r="C52" s="30">
        <v>56.17</v>
      </c>
      <c r="D52" s="18">
        <v>0</v>
      </c>
      <c r="E52" s="30">
        <v>33</v>
      </c>
      <c r="F52" s="32">
        <f t="shared" si="0"/>
        <v>2.71979985704074</v>
      </c>
      <c r="G52" s="19"/>
      <c r="H52" s="19"/>
    </row>
    <row r="53" customHeight="1" spans="1:8">
      <c r="A53" s="29">
        <v>157.1</v>
      </c>
      <c r="B53" s="18">
        <v>57.92</v>
      </c>
      <c r="C53" s="30">
        <v>58.03</v>
      </c>
      <c r="D53" s="18">
        <v>0</v>
      </c>
      <c r="E53" s="30">
        <v>33</v>
      </c>
      <c r="F53" s="32">
        <f t="shared" si="0"/>
        <v>2.71236187845304</v>
      </c>
      <c r="G53" s="19"/>
      <c r="H53" s="19"/>
    </row>
    <row r="54" customHeight="1" spans="1:8">
      <c r="A54" s="29">
        <v>160.3</v>
      </c>
      <c r="B54" s="18">
        <v>58.86</v>
      </c>
      <c r="C54" s="30">
        <v>59.01</v>
      </c>
      <c r="D54" s="18">
        <v>0</v>
      </c>
      <c r="E54" s="30">
        <v>33</v>
      </c>
      <c r="F54" s="32">
        <f t="shared" si="0"/>
        <v>2.72341148487937</v>
      </c>
      <c r="G54" s="19"/>
      <c r="H54" s="19"/>
    </row>
    <row r="55" customHeight="1" spans="1:8">
      <c r="A55" s="29">
        <v>161.8</v>
      </c>
      <c r="B55" s="18">
        <v>59.88</v>
      </c>
      <c r="C55" s="30">
        <v>59.99</v>
      </c>
      <c r="D55" s="18">
        <v>0</v>
      </c>
      <c r="E55" s="30">
        <v>33</v>
      </c>
      <c r="F55" s="32">
        <f t="shared" si="0"/>
        <v>2.70207080828323</v>
      </c>
      <c r="G55" s="19"/>
      <c r="H55" s="19"/>
    </row>
    <row r="56" customHeight="1" spans="1:8">
      <c r="A56" s="29">
        <v>163.2</v>
      </c>
      <c r="B56" s="18">
        <v>60.87</v>
      </c>
      <c r="C56" s="30">
        <v>60.97</v>
      </c>
      <c r="D56" s="18">
        <v>0</v>
      </c>
      <c r="E56" s="30">
        <v>33</v>
      </c>
      <c r="F56" s="32">
        <f t="shared" si="0"/>
        <v>2.68112370625924</v>
      </c>
      <c r="G56" s="19"/>
      <c r="H56" s="19"/>
    </row>
    <row r="57" customHeight="1" spans="1:8">
      <c r="A57" s="29">
        <v>164.7</v>
      </c>
      <c r="B57" s="18">
        <v>61.86</v>
      </c>
      <c r="C57" s="30">
        <v>61.95</v>
      </c>
      <c r="D57" s="18">
        <v>0</v>
      </c>
      <c r="E57" s="30">
        <v>33</v>
      </c>
      <c r="F57" s="32">
        <f t="shared" si="0"/>
        <v>2.66246362754607</v>
      </c>
      <c r="G57" s="19"/>
      <c r="H57" s="19"/>
    </row>
    <row r="58" customHeight="1" spans="1:8">
      <c r="A58" s="29">
        <v>166.8</v>
      </c>
      <c r="B58" s="18">
        <v>62.87</v>
      </c>
      <c r="C58" s="30">
        <v>62.93</v>
      </c>
      <c r="D58" s="18">
        <v>0</v>
      </c>
      <c r="E58" s="30">
        <v>33</v>
      </c>
      <c r="F58" s="32">
        <f t="shared" si="0"/>
        <v>2.65309368538254</v>
      </c>
      <c r="G58" s="19"/>
      <c r="H58" s="19"/>
    </row>
    <row r="59" customHeight="1" spans="1:8">
      <c r="A59" s="29">
        <v>170.1</v>
      </c>
      <c r="B59" s="18">
        <v>64.71</v>
      </c>
      <c r="C59" s="30">
        <v>64.78</v>
      </c>
      <c r="D59" s="18">
        <v>0</v>
      </c>
      <c r="E59" s="30">
        <v>33</v>
      </c>
      <c r="F59" s="32">
        <f t="shared" si="0"/>
        <v>2.62865090403338</v>
      </c>
      <c r="G59" s="19"/>
      <c r="H59" s="19"/>
    </row>
    <row r="60" customHeight="1" spans="1:8">
      <c r="A60" s="29">
        <v>175</v>
      </c>
      <c r="B60" s="18">
        <v>65.56</v>
      </c>
      <c r="C60" s="30">
        <v>65.76</v>
      </c>
      <c r="D60" s="18">
        <v>0</v>
      </c>
      <c r="E60" s="30">
        <v>33</v>
      </c>
      <c r="F60" s="32">
        <f t="shared" si="0"/>
        <v>2.6693105552166</v>
      </c>
      <c r="G60" s="19"/>
      <c r="H60" s="19"/>
    </row>
    <row r="61" customHeight="1" spans="1:8">
      <c r="A61" s="29">
        <v>177.4</v>
      </c>
      <c r="B61" s="18">
        <v>66.6</v>
      </c>
      <c r="C61" s="30">
        <v>66.75</v>
      </c>
      <c r="D61" s="18">
        <v>0</v>
      </c>
      <c r="E61" s="30">
        <v>33</v>
      </c>
      <c r="F61" s="32">
        <f t="shared" si="0"/>
        <v>2.66366366366366</v>
      </c>
      <c r="G61" s="19"/>
      <c r="H61" s="19"/>
    </row>
    <row r="62" customHeight="1" spans="1:8">
      <c r="A62" s="29">
        <v>180.2</v>
      </c>
      <c r="B62" s="18">
        <v>67.52</v>
      </c>
      <c r="C62" s="30">
        <v>67.73</v>
      </c>
      <c r="D62" s="18">
        <v>0</v>
      </c>
      <c r="E62" s="30">
        <v>33</v>
      </c>
      <c r="F62" s="32">
        <f t="shared" si="0"/>
        <v>2.66883886255924</v>
      </c>
      <c r="G62" s="19"/>
      <c r="H62" s="19"/>
    </row>
    <row r="63" customHeight="1" spans="1:8">
      <c r="A63" s="29">
        <v>184.6</v>
      </c>
      <c r="B63" s="18">
        <v>68.58</v>
      </c>
      <c r="C63" s="30">
        <v>68.71</v>
      </c>
      <c r="D63" s="18">
        <v>0</v>
      </c>
      <c r="E63" s="30">
        <v>33</v>
      </c>
      <c r="F63" s="32">
        <f t="shared" si="0"/>
        <v>2.69174686497521</v>
      </c>
      <c r="G63" s="19"/>
      <c r="H63" s="19"/>
    </row>
    <row r="64" customHeight="1" spans="1:8">
      <c r="A64" s="29">
        <v>187.9</v>
      </c>
      <c r="B64" s="18">
        <v>69.56</v>
      </c>
      <c r="C64" s="30">
        <v>69.69</v>
      </c>
      <c r="D64" s="18">
        <v>0</v>
      </c>
      <c r="E64" s="30">
        <v>33</v>
      </c>
      <c r="F64" s="32">
        <f t="shared" si="0"/>
        <v>2.70126509488212</v>
      </c>
      <c r="G64" s="19"/>
      <c r="H64" s="19"/>
    </row>
    <row r="65" customHeight="1" spans="1:8">
      <c r="A65" s="29">
        <v>189.4</v>
      </c>
      <c r="B65" s="18">
        <v>71.46</v>
      </c>
      <c r="C65" s="30">
        <v>71.54</v>
      </c>
      <c r="D65" s="18">
        <v>0</v>
      </c>
      <c r="E65" s="30">
        <v>33</v>
      </c>
      <c r="F65" s="32">
        <f t="shared" si="0"/>
        <v>2.65043380912399</v>
      </c>
      <c r="G65" s="19"/>
      <c r="H65" s="19"/>
    </row>
    <row r="66" customHeight="1" spans="1:8">
      <c r="A66" s="29">
        <v>190.5</v>
      </c>
      <c r="B66" s="18">
        <v>72.39</v>
      </c>
      <c r="C66" s="30">
        <v>72.52</v>
      </c>
      <c r="D66" s="18">
        <v>0</v>
      </c>
      <c r="E66" s="30">
        <v>33</v>
      </c>
      <c r="F66" s="32">
        <f t="shared" si="0"/>
        <v>2.63157894736842</v>
      </c>
      <c r="G66" s="19"/>
      <c r="H66" s="19"/>
    </row>
    <row r="67" customHeight="1" spans="1:8">
      <c r="A67" s="29">
        <v>192.2</v>
      </c>
      <c r="B67" s="18">
        <v>73.35</v>
      </c>
      <c r="C67" s="30">
        <v>73.5</v>
      </c>
      <c r="D67" s="18">
        <v>0</v>
      </c>
      <c r="E67" s="30">
        <v>33</v>
      </c>
      <c r="F67" s="32">
        <f t="shared" ref="F67:F126" si="1">A67/B67</f>
        <v>2.62031356509884</v>
      </c>
      <c r="G67" s="19"/>
      <c r="H67" s="19"/>
    </row>
    <row r="68" customHeight="1" spans="1:8">
      <c r="A68" s="29">
        <v>194</v>
      </c>
      <c r="B68" s="18">
        <v>74.38</v>
      </c>
      <c r="C68" s="30">
        <v>74.48</v>
      </c>
      <c r="D68" s="18">
        <v>0</v>
      </c>
      <c r="E68" s="30">
        <v>33</v>
      </c>
      <c r="F68" s="32">
        <f t="shared" si="1"/>
        <v>2.60822801828448</v>
      </c>
      <c r="G68" s="19"/>
      <c r="H68" s="19"/>
    </row>
    <row r="69" customHeight="1" spans="1:8">
      <c r="A69" s="29">
        <v>196.4</v>
      </c>
      <c r="B69" s="18">
        <v>75.41</v>
      </c>
      <c r="C69" s="30">
        <v>75.46</v>
      </c>
      <c r="D69" s="18">
        <v>0</v>
      </c>
      <c r="E69" s="30">
        <v>33</v>
      </c>
      <c r="F69" s="32">
        <f t="shared" si="1"/>
        <v>2.60442912080626</v>
      </c>
      <c r="G69" s="19"/>
      <c r="H69" s="19"/>
    </row>
    <row r="70" customHeight="1" spans="1:8">
      <c r="A70" s="29">
        <v>202.4</v>
      </c>
      <c r="B70" s="18">
        <v>76.42</v>
      </c>
      <c r="C70" s="30">
        <v>76.44</v>
      </c>
      <c r="D70" s="18">
        <v>0</v>
      </c>
      <c r="E70" s="30">
        <v>33</v>
      </c>
      <c r="F70" s="32">
        <f t="shared" si="1"/>
        <v>2.6485213294949</v>
      </c>
      <c r="G70" s="19"/>
      <c r="H70" s="19"/>
    </row>
    <row r="71" customHeight="1" spans="1:8">
      <c r="A71" s="29">
        <v>205.6</v>
      </c>
      <c r="B71" s="18">
        <v>77.35</v>
      </c>
      <c r="C71" s="30">
        <v>77.42</v>
      </c>
      <c r="D71" s="18">
        <v>0</v>
      </c>
      <c r="E71" s="30">
        <v>33</v>
      </c>
      <c r="F71" s="32">
        <f t="shared" si="1"/>
        <v>2.65804783451842</v>
      </c>
      <c r="G71" s="19"/>
      <c r="H71" s="19"/>
    </row>
    <row r="72" customHeight="1" spans="1:8">
      <c r="A72" s="29">
        <v>207.2</v>
      </c>
      <c r="B72" s="18">
        <v>79.08</v>
      </c>
      <c r="C72" s="30">
        <v>79.28</v>
      </c>
      <c r="D72" s="18">
        <v>0</v>
      </c>
      <c r="E72" s="30">
        <v>33</v>
      </c>
      <c r="F72" s="32">
        <f t="shared" si="1"/>
        <v>2.62013151239251</v>
      </c>
      <c r="G72" s="19"/>
      <c r="H72" s="19"/>
    </row>
    <row r="73" customHeight="1" spans="1:8">
      <c r="A73" s="29">
        <v>210.3</v>
      </c>
      <c r="B73" s="18">
        <v>80.07</v>
      </c>
      <c r="C73" s="30">
        <v>80.26</v>
      </c>
      <c r="D73" s="18">
        <v>0</v>
      </c>
      <c r="E73" s="30">
        <v>33</v>
      </c>
      <c r="F73" s="32">
        <f t="shared" si="1"/>
        <v>2.6264518546272</v>
      </c>
      <c r="G73" s="19"/>
      <c r="H73" s="19"/>
    </row>
    <row r="74" customHeight="1" spans="1:8">
      <c r="A74" s="29">
        <v>214.3</v>
      </c>
      <c r="B74" s="18">
        <v>81.12</v>
      </c>
      <c r="C74" s="30">
        <v>81.24</v>
      </c>
      <c r="D74" s="18">
        <v>0</v>
      </c>
      <c r="E74" s="30">
        <v>33</v>
      </c>
      <c r="F74" s="32">
        <f t="shared" si="1"/>
        <v>2.64176528599606</v>
      </c>
      <c r="G74" s="19"/>
      <c r="H74" s="19"/>
    </row>
    <row r="75" customHeight="1" spans="1:8">
      <c r="A75" s="29">
        <v>216.9</v>
      </c>
      <c r="B75" s="18">
        <v>82.06</v>
      </c>
      <c r="C75" s="30">
        <v>82.22</v>
      </c>
      <c r="D75" s="18">
        <v>0</v>
      </c>
      <c r="E75" s="30">
        <v>33</v>
      </c>
      <c r="F75" s="32">
        <f t="shared" si="1"/>
        <v>2.64318791128443</v>
      </c>
      <c r="G75" s="19"/>
      <c r="H75" s="19"/>
    </row>
    <row r="76" customHeight="1" spans="1:8">
      <c r="A76" s="29">
        <v>218.1</v>
      </c>
      <c r="B76" s="18">
        <v>83.11</v>
      </c>
      <c r="C76" s="30">
        <v>83.2</v>
      </c>
      <c r="D76" s="18">
        <v>0</v>
      </c>
      <c r="E76" s="30">
        <v>33</v>
      </c>
      <c r="F76" s="32">
        <f t="shared" si="1"/>
        <v>2.6242329442907</v>
      </c>
      <c r="G76" s="19"/>
      <c r="H76" s="19"/>
    </row>
    <row r="77" customHeight="1" spans="1:8">
      <c r="A77" s="29">
        <v>219.1</v>
      </c>
      <c r="B77" s="18">
        <v>84.07</v>
      </c>
      <c r="C77" s="30">
        <v>84.18</v>
      </c>
      <c r="D77" s="18">
        <v>0</v>
      </c>
      <c r="E77" s="30">
        <v>33</v>
      </c>
      <c r="F77" s="32">
        <f t="shared" si="1"/>
        <v>2.60616153205662</v>
      </c>
      <c r="G77" s="19"/>
      <c r="H77" s="19"/>
    </row>
    <row r="78" customHeight="1" spans="1:8">
      <c r="A78" s="29">
        <v>220.4</v>
      </c>
      <c r="B78" s="18">
        <v>85.91</v>
      </c>
      <c r="C78" s="30">
        <v>86.03</v>
      </c>
      <c r="D78" s="18">
        <v>0</v>
      </c>
      <c r="E78" s="30">
        <v>34</v>
      </c>
      <c r="F78" s="32">
        <f t="shared" si="1"/>
        <v>2.56547549761378</v>
      </c>
      <c r="G78" s="19"/>
      <c r="H78" s="19"/>
    </row>
    <row r="79" customHeight="1" spans="1:8">
      <c r="A79" s="29">
        <v>221.7</v>
      </c>
      <c r="B79" s="18">
        <v>86.94</v>
      </c>
      <c r="C79" s="30">
        <v>87.01</v>
      </c>
      <c r="D79" s="18">
        <v>0</v>
      </c>
      <c r="E79" s="30">
        <v>34</v>
      </c>
      <c r="F79" s="32">
        <f t="shared" si="1"/>
        <v>2.55003450655625</v>
      </c>
      <c r="G79" s="19"/>
      <c r="H79" s="19"/>
    </row>
    <row r="80" customHeight="1" spans="1:8">
      <c r="A80" s="29">
        <v>223.7</v>
      </c>
      <c r="B80" s="18">
        <v>87.87</v>
      </c>
      <c r="C80" s="30">
        <v>87.99</v>
      </c>
      <c r="D80" s="18">
        <v>0</v>
      </c>
      <c r="E80" s="30">
        <v>34</v>
      </c>
      <c r="F80" s="32">
        <f t="shared" si="1"/>
        <v>2.54580630476841</v>
      </c>
      <c r="G80" s="19"/>
      <c r="H80" s="19"/>
    </row>
    <row r="81" customHeight="1" spans="1:8">
      <c r="A81" s="29">
        <v>227.7</v>
      </c>
      <c r="B81" s="18">
        <v>89.03</v>
      </c>
      <c r="C81" s="30">
        <v>88.97</v>
      </c>
      <c r="D81" s="18">
        <v>0</v>
      </c>
      <c r="E81" s="30">
        <v>34</v>
      </c>
      <c r="F81" s="32">
        <f t="shared" si="1"/>
        <v>2.55756486577558</v>
      </c>
      <c r="G81" s="19"/>
      <c r="H81" s="19"/>
    </row>
    <row r="82" customHeight="1" spans="1:8">
      <c r="A82" s="29">
        <v>235.3</v>
      </c>
      <c r="B82" s="18">
        <v>89.79</v>
      </c>
      <c r="C82" s="30">
        <v>89.95</v>
      </c>
      <c r="D82" s="18">
        <v>0</v>
      </c>
      <c r="E82" s="30">
        <v>34</v>
      </c>
      <c r="F82" s="32">
        <f t="shared" si="1"/>
        <v>2.62055908230315</v>
      </c>
      <c r="G82" s="19"/>
      <c r="H82" s="19"/>
    </row>
    <row r="83" customHeight="1" spans="1:8">
      <c r="A83" s="29">
        <v>237.6</v>
      </c>
      <c r="B83" s="18">
        <v>90.75</v>
      </c>
      <c r="C83" s="30">
        <v>90.93</v>
      </c>
      <c r="D83" s="18">
        <v>0</v>
      </c>
      <c r="E83" s="30">
        <v>34</v>
      </c>
      <c r="F83" s="32">
        <f t="shared" si="1"/>
        <v>2.61818181818182</v>
      </c>
      <c r="G83" s="19"/>
      <c r="H83" s="19"/>
    </row>
    <row r="84" customHeight="1" spans="1:8">
      <c r="A84" s="29">
        <v>241.5</v>
      </c>
      <c r="B84" s="18">
        <v>92.66</v>
      </c>
      <c r="C84" s="30">
        <v>92.79</v>
      </c>
      <c r="D84" s="18">
        <v>0</v>
      </c>
      <c r="E84" s="30">
        <v>34</v>
      </c>
      <c r="F84" s="32">
        <f t="shared" si="1"/>
        <v>2.60630261169868</v>
      </c>
      <c r="G84" s="19"/>
      <c r="H84" s="19"/>
    </row>
    <row r="85" customHeight="1" spans="1:8">
      <c r="A85" s="29">
        <v>243.7</v>
      </c>
      <c r="B85" s="18">
        <v>93.66</v>
      </c>
      <c r="C85" s="30">
        <v>93.77</v>
      </c>
      <c r="D85" s="18">
        <v>0</v>
      </c>
      <c r="E85" s="30">
        <v>34</v>
      </c>
      <c r="F85" s="32">
        <f t="shared" si="1"/>
        <v>2.6019645526372</v>
      </c>
      <c r="G85" s="19"/>
      <c r="H85" s="19"/>
    </row>
    <row r="86" customHeight="1" spans="1:8">
      <c r="A86" s="29">
        <v>244.8</v>
      </c>
      <c r="B86" s="18">
        <v>94.62</v>
      </c>
      <c r="C86" s="30">
        <v>94.75</v>
      </c>
      <c r="D86" s="18">
        <v>0</v>
      </c>
      <c r="E86" s="30">
        <v>34</v>
      </c>
      <c r="F86" s="32">
        <f t="shared" si="1"/>
        <v>2.58719086873811</v>
      </c>
      <c r="G86" s="19"/>
      <c r="H86" s="19"/>
    </row>
    <row r="87" customHeight="1" spans="1:8">
      <c r="A87" s="29">
        <v>245.9</v>
      </c>
      <c r="B87" s="18">
        <v>95.63</v>
      </c>
      <c r="C87" s="30">
        <v>95.73</v>
      </c>
      <c r="D87" s="18">
        <v>0</v>
      </c>
      <c r="E87" s="30">
        <v>34</v>
      </c>
      <c r="F87" s="32">
        <f t="shared" si="1"/>
        <v>2.57136881731674</v>
      </c>
      <c r="G87" s="19"/>
      <c r="H87" s="19"/>
    </row>
    <row r="88" customHeight="1" spans="1:8">
      <c r="A88" s="29">
        <v>246.9</v>
      </c>
      <c r="B88" s="18">
        <v>96.57</v>
      </c>
      <c r="C88" s="30">
        <v>96.71</v>
      </c>
      <c r="D88" s="18">
        <v>0</v>
      </c>
      <c r="E88" s="30">
        <v>34</v>
      </c>
      <c r="F88" s="32">
        <f t="shared" si="1"/>
        <v>2.55669462566014</v>
      </c>
      <c r="G88" s="19"/>
      <c r="H88" s="19"/>
    </row>
    <row r="89" customHeight="1" spans="1:8">
      <c r="A89" s="29">
        <v>248.2</v>
      </c>
      <c r="B89" s="18">
        <v>97.58</v>
      </c>
      <c r="C89" s="30">
        <v>97.69</v>
      </c>
      <c r="D89" s="18">
        <v>0</v>
      </c>
      <c r="E89" s="30">
        <v>34</v>
      </c>
      <c r="F89" s="32">
        <f t="shared" si="1"/>
        <v>2.54355400696864</v>
      </c>
      <c r="G89" s="19"/>
      <c r="H89" s="19"/>
    </row>
    <row r="90" customHeight="1" spans="1:8">
      <c r="A90" s="29">
        <v>250.6</v>
      </c>
      <c r="B90" s="18">
        <v>99.6</v>
      </c>
      <c r="C90" s="30">
        <v>99.54</v>
      </c>
      <c r="D90" s="18">
        <v>0</v>
      </c>
      <c r="E90" s="30">
        <v>34</v>
      </c>
      <c r="F90" s="32">
        <f t="shared" si="1"/>
        <v>2.51606425702811</v>
      </c>
      <c r="G90" s="19"/>
      <c r="H90" s="19"/>
    </row>
    <row r="91" customHeight="1" spans="1:8">
      <c r="A91" s="29">
        <v>256.2</v>
      </c>
      <c r="B91" s="18">
        <v>100.4</v>
      </c>
      <c r="C91" s="30">
        <v>100.52</v>
      </c>
      <c r="D91" s="18">
        <v>0</v>
      </c>
      <c r="E91" s="30">
        <v>34</v>
      </c>
      <c r="F91" s="32">
        <f t="shared" si="1"/>
        <v>2.55179282868526</v>
      </c>
      <c r="G91" s="19"/>
      <c r="H91" s="19"/>
    </row>
    <row r="92" customHeight="1" spans="1:8">
      <c r="A92" s="29">
        <v>258.6</v>
      </c>
      <c r="B92" s="18">
        <v>101.32</v>
      </c>
      <c r="C92" s="30">
        <v>101.5</v>
      </c>
      <c r="D92" s="18">
        <v>0</v>
      </c>
      <c r="E92" s="30">
        <v>34</v>
      </c>
      <c r="F92" s="32">
        <f t="shared" si="1"/>
        <v>2.55230951440979</v>
      </c>
      <c r="G92" s="19"/>
      <c r="H92" s="19"/>
    </row>
    <row r="93" customHeight="1" spans="1:8">
      <c r="A93" s="29">
        <v>260.5</v>
      </c>
      <c r="B93" s="18">
        <v>102.33</v>
      </c>
      <c r="C93" s="30">
        <v>102.48</v>
      </c>
      <c r="D93" s="18">
        <v>0</v>
      </c>
      <c r="E93" s="30">
        <v>35</v>
      </c>
      <c r="F93" s="32">
        <f t="shared" si="1"/>
        <v>2.54568552721587</v>
      </c>
      <c r="G93" s="19"/>
      <c r="H93" s="19"/>
    </row>
    <row r="94" customHeight="1" spans="1:8">
      <c r="A94" s="29">
        <v>262.3</v>
      </c>
      <c r="B94" s="18">
        <v>103.29</v>
      </c>
      <c r="C94" s="30">
        <v>103.46</v>
      </c>
      <c r="D94" s="18">
        <v>0</v>
      </c>
      <c r="E94" s="30">
        <v>35</v>
      </c>
      <c r="F94" s="32">
        <f t="shared" si="1"/>
        <v>2.53945202826992</v>
      </c>
      <c r="G94" s="19"/>
      <c r="H94" s="19"/>
    </row>
    <row r="95" customHeight="1" spans="1:8">
      <c r="A95" s="29">
        <v>264.8</v>
      </c>
      <c r="B95" s="18">
        <v>104.33</v>
      </c>
      <c r="C95" s="30">
        <v>104.44</v>
      </c>
      <c r="D95" s="18">
        <v>0</v>
      </c>
      <c r="E95" s="30">
        <v>35</v>
      </c>
      <c r="F95" s="32">
        <f t="shared" si="1"/>
        <v>2.53810025879421</v>
      </c>
      <c r="G95" s="19"/>
      <c r="H95" s="19"/>
    </row>
    <row r="96" customHeight="1" spans="1:8">
      <c r="A96" s="29">
        <v>266.9</v>
      </c>
      <c r="B96" s="18">
        <v>105.31</v>
      </c>
      <c r="C96" s="30">
        <v>105.42</v>
      </c>
      <c r="D96" s="18">
        <v>0</v>
      </c>
      <c r="E96" s="30">
        <v>35</v>
      </c>
      <c r="F96" s="32">
        <f t="shared" si="1"/>
        <v>2.53442218212895</v>
      </c>
      <c r="G96" s="19"/>
      <c r="H96" s="19"/>
    </row>
    <row r="97" customHeight="1" spans="1:8">
      <c r="A97" s="29">
        <v>267.8</v>
      </c>
      <c r="B97" s="18">
        <v>107.15</v>
      </c>
      <c r="C97" s="30">
        <v>107.28</v>
      </c>
      <c r="D97" s="18">
        <v>0</v>
      </c>
      <c r="E97" s="30">
        <v>35</v>
      </c>
      <c r="F97" s="32">
        <f t="shared" si="1"/>
        <v>2.49930004666356</v>
      </c>
      <c r="G97" s="19"/>
      <c r="H97" s="19"/>
    </row>
    <row r="98" customHeight="1" spans="1:8">
      <c r="A98" s="29">
        <v>268.5</v>
      </c>
      <c r="B98" s="18">
        <v>108.15</v>
      </c>
      <c r="C98" s="30">
        <v>108.26</v>
      </c>
      <c r="D98" s="18">
        <v>0</v>
      </c>
      <c r="E98" s="30">
        <v>35</v>
      </c>
      <c r="F98" s="32">
        <f t="shared" si="1"/>
        <v>2.48266296809986</v>
      </c>
      <c r="G98" s="19"/>
      <c r="H98" s="19"/>
    </row>
    <row r="99" customHeight="1" spans="1:8">
      <c r="A99" s="29">
        <v>269.6</v>
      </c>
      <c r="B99" s="18">
        <v>109.08</v>
      </c>
      <c r="C99" s="30">
        <v>109.24</v>
      </c>
      <c r="D99" s="18">
        <v>0</v>
      </c>
      <c r="E99" s="30">
        <v>35</v>
      </c>
      <c r="F99" s="32">
        <f t="shared" si="1"/>
        <v>2.47158049138247</v>
      </c>
      <c r="G99" s="19"/>
      <c r="H99" s="19"/>
    </row>
    <row r="100" customHeight="1" spans="1:8">
      <c r="A100" s="29">
        <v>270.5</v>
      </c>
      <c r="B100" s="18">
        <v>110.09</v>
      </c>
      <c r="C100" s="30">
        <v>110.22</v>
      </c>
      <c r="D100" s="18">
        <v>0</v>
      </c>
      <c r="E100" s="30">
        <v>35</v>
      </c>
      <c r="F100" s="32">
        <f t="shared" si="1"/>
        <v>2.45708057044237</v>
      </c>
      <c r="G100" s="19"/>
      <c r="H100" s="19"/>
    </row>
    <row r="101" customHeight="1" spans="1:8">
      <c r="A101" s="29">
        <v>271.4</v>
      </c>
      <c r="B101" s="18">
        <v>111.04</v>
      </c>
      <c r="C101" s="30">
        <v>111.2</v>
      </c>
      <c r="D101" s="18">
        <v>0</v>
      </c>
      <c r="E101" s="30">
        <v>35</v>
      </c>
      <c r="F101" s="32">
        <f t="shared" si="1"/>
        <v>2.44416426512968</v>
      </c>
      <c r="G101" s="19"/>
      <c r="H101" s="19"/>
    </row>
    <row r="102" customHeight="1" spans="1:8">
      <c r="A102" s="29">
        <v>272.6</v>
      </c>
      <c r="B102" s="18">
        <v>112.02</v>
      </c>
      <c r="C102" s="30">
        <v>112.18</v>
      </c>
      <c r="D102" s="18">
        <v>0</v>
      </c>
      <c r="E102" s="30">
        <v>36</v>
      </c>
      <c r="F102" s="32">
        <f t="shared" si="1"/>
        <v>2.43349401892519</v>
      </c>
      <c r="G102" s="19"/>
      <c r="H102" s="19"/>
    </row>
    <row r="103" customHeight="1" spans="1:8">
      <c r="A103" s="29">
        <v>274.1</v>
      </c>
      <c r="B103" s="18">
        <v>113.94</v>
      </c>
      <c r="C103" s="30">
        <v>114.03</v>
      </c>
      <c r="D103" s="18">
        <v>0</v>
      </c>
      <c r="E103" s="30">
        <v>36</v>
      </c>
      <c r="F103" s="32">
        <f t="shared" si="1"/>
        <v>2.40565209759523</v>
      </c>
      <c r="G103" s="19"/>
      <c r="H103" s="19"/>
    </row>
    <row r="104" customHeight="1" spans="1:8">
      <c r="A104" s="29">
        <v>278.5</v>
      </c>
      <c r="B104" s="18">
        <v>114.93</v>
      </c>
      <c r="C104" s="30">
        <v>115.02</v>
      </c>
      <c r="D104" s="18">
        <v>0</v>
      </c>
      <c r="E104" s="30">
        <v>36</v>
      </c>
      <c r="F104" s="32">
        <f t="shared" si="1"/>
        <v>2.42321413034021</v>
      </c>
      <c r="G104" s="19"/>
      <c r="H104" s="19"/>
    </row>
    <row r="105" customHeight="1" spans="1:8">
      <c r="A105" s="29">
        <v>282.7</v>
      </c>
      <c r="B105" s="18">
        <v>115.94</v>
      </c>
      <c r="C105" s="30">
        <v>116</v>
      </c>
      <c r="D105" s="18">
        <v>0</v>
      </c>
      <c r="E105" s="30">
        <v>36</v>
      </c>
      <c r="F105" s="32">
        <f t="shared" si="1"/>
        <v>2.43833017077799</v>
      </c>
      <c r="G105" s="19"/>
      <c r="H105" s="19"/>
    </row>
    <row r="106" customHeight="1" spans="1:8">
      <c r="A106" s="29">
        <v>284.1</v>
      </c>
      <c r="B106" s="18">
        <v>116.88</v>
      </c>
      <c r="C106" s="30">
        <v>116.98</v>
      </c>
      <c r="D106" s="18">
        <v>0</v>
      </c>
      <c r="E106" s="30">
        <v>36</v>
      </c>
      <c r="F106" s="32">
        <f t="shared" si="1"/>
        <v>2.43069815195072</v>
      </c>
      <c r="G106" s="19"/>
      <c r="H106" s="19"/>
    </row>
    <row r="107" customHeight="1" spans="1:8">
      <c r="A107" s="29">
        <v>285.1</v>
      </c>
      <c r="B107" s="18">
        <v>117.84</v>
      </c>
      <c r="C107" s="30">
        <v>117.96</v>
      </c>
      <c r="D107" s="18">
        <v>0</v>
      </c>
      <c r="E107" s="30">
        <v>36</v>
      </c>
      <c r="F107" s="32">
        <f t="shared" si="1"/>
        <v>2.4193822131704</v>
      </c>
      <c r="G107" s="19"/>
      <c r="H107" s="19"/>
    </row>
    <row r="108" customHeight="1" spans="1:8">
      <c r="A108" s="29">
        <v>287.8</v>
      </c>
      <c r="B108" s="18">
        <v>118.73</v>
      </c>
      <c r="C108" s="30">
        <v>118.94</v>
      </c>
      <c r="D108" s="18">
        <v>0</v>
      </c>
      <c r="E108" s="30">
        <v>36</v>
      </c>
      <c r="F108" s="32">
        <f t="shared" si="1"/>
        <v>2.42398719784385</v>
      </c>
      <c r="G108" s="19"/>
      <c r="H108" s="19"/>
    </row>
    <row r="109" customHeight="1" spans="1:8">
      <c r="A109" s="29">
        <v>290.6</v>
      </c>
      <c r="B109" s="18">
        <v>120.66</v>
      </c>
      <c r="C109" s="30">
        <v>120.79</v>
      </c>
      <c r="D109" s="18">
        <v>0</v>
      </c>
      <c r="E109" s="30">
        <v>36</v>
      </c>
      <c r="F109" s="32">
        <f t="shared" si="1"/>
        <v>2.40842035471573</v>
      </c>
      <c r="G109" s="19"/>
      <c r="H109" s="19"/>
    </row>
    <row r="110" customHeight="1" spans="1:8">
      <c r="A110" s="29">
        <v>291.7</v>
      </c>
      <c r="B110" s="18">
        <v>121.6</v>
      </c>
      <c r="C110" s="30">
        <v>121.77</v>
      </c>
      <c r="D110" s="18">
        <v>0</v>
      </c>
      <c r="E110" s="30">
        <v>37</v>
      </c>
      <c r="F110" s="32">
        <f t="shared" si="1"/>
        <v>2.39884868421053</v>
      </c>
      <c r="G110" s="19"/>
      <c r="H110" s="19"/>
    </row>
    <row r="111" customHeight="1" spans="1:8">
      <c r="A111" s="29">
        <v>292.6</v>
      </c>
      <c r="B111" s="18">
        <v>122.6</v>
      </c>
      <c r="C111" s="30">
        <v>122.75</v>
      </c>
      <c r="D111" s="18">
        <v>0</v>
      </c>
      <c r="E111" s="30">
        <v>37</v>
      </c>
      <c r="F111" s="32">
        <f t="shared" si="1"/>
        <v>2.38662316476346</v>
      </c>
      <c r="G111" s="19"/>
      <c r="H111" s="19"/>
    </row>
    <row r="112" customHeight="1" spans="1:8">
      <c r="A112" s="29">
        <v>293.3</v>
      </c>
      <c r="B112" s="18">
        <v>123.59</v>
      </c>
      <c r="C112" s="30">
        <v>123.73</v>
      </c>
      <c r="D112" s="18">
        <v>0</v>
      </c>
      <c r="E112" s="30">
        <v>37</v>
      </c>
      <c r="F112" s="32">
        <f t="shared" si="1"/>
        <v>2.37316935027106</v>
      </c>
      <c r="G112" s="19"/>
      <c r="H112" s="19"/>
    </row>
    <row r="113" customHeight="1" spans="1:8">
      <c r="A113" s="29">
        <v>294.3</v>
      </c>
      <c r="B113" s="18">
        <v>124.6</v>
      </c>
      <c r="C113" s="30">
        <v>124.71</v>
      </c>
      <c r="D113" s="18">
        <v>0</v>
      </c>
      <c r="E113" s="30">
        <v>37</v>
      </c>
      <c r="F113" s="32">
        <f t="shared" si="1"/>
        <v>2.36195826645265</v>
      </c>
      <c r="G113" s="19"/>
      <c r="H113" s="19"/>
    </row>
    <row r="114" customHeight="1" spans="1:8">
      <c r="A114" s="29">
        <v>295.4</v>
      </c>
      <c r="B114" s="30">
        <v>125.56</v>
      </c>
      <c r="C114" s="30">
        <v>125.69</v>
      </c>
      <c r="D114" s="30">
        <v>0</v>
      </c>
      <c r="E114" s="30">
        <v>37</v>
      </c>
      <c r="F114" s="32">
        <f t="shared" si="1"/>
        <v>2.35266008282893</v>
      </c>
      <c r="G114" s="19"/>
      <c r="H114" s="19"/>
    </row>
    <row r="115" customHeight="1" spans="1:8">
      <c r="A115" s="29">
        <v>298.2</v>
      </c>
      <c r="B115" s="30">
        <v>127.64</v>
      </c>
      <c r="C115" s="30">
        <v>127.55</v>
      </c>
      <c r="D115" s="30">
        <v>0</v>
      </c>
      <c r="E115" s="30">
        <v>37</v>
      </c>
      <c r="F115" s="32">
        <f t="shared" si="1"/>
        <v>2.33625822626136</v>
      </c>
      <c r="G115" s="19"/>
      <c r="H115" s="19"/>
    </row>
    <row r="116" customHeight="1" spans="1:8">
      <c r="A116" s="29">
        <v>309</v>
      </c>
      <c r="B116" s="30">
        <v>128.1</v>
      </c>
      <c r="C116" s="30">
        <v>128.53</v>
      </c>
      <c r="D116" s="30">
        <v>0</v>
      </c>
      <c r="E116" s="30">
        <v>37</v>
      </c>
      <c r="F116" s="32">
        <f t="shared" si="1"/>
        <v>2.41217798594848</v>
      </c>
      <c r="G116" s="19"/>
      <c r="H116" s="19"/>
    </row>
    <row r="117" customHeight="1" spans="1:8">
      <c r="A117" s="29">
        <v>312.7</v>
      </c>
      <c r="B117" s="30">
        <v>129.33</v>
      </c>
      <c r="C117" s="30">
        <v>129.51</v>
      </c>
      <c r="D117" s="30">
        <v>0</v>
      </c>
      <c r="E117" s="30">
        <v>37</v>
      </c>
      <c r="F117" s="32">
        <f t="shared" si="1"/>
        <v>2.41784582076858</v>
      </c>
      <c r="G117" s="19"/>
      <c r="H117" s="19"/>
    </row>
    <row r="118" customHeight="1" spans="1:8">
      <c r="A118" s="29">
        <v>316.5</v>
      </c>
      <c r="B118" s="30">
        <v>130.34</v>
      </c>
      <c r="C118" s="30">
        <v>130.49</v>
      </c>
      <c r="D118" s="30">
        <v>0</v>
      </c>
      <c r="E118" s="30">
        <v>38</v>
      </c>
      <c r="F118" s="32">
        <f t="shared" si="1"/>
        <v>2.42826453889827</v>
      </c>
      <c r="G118" s="19"/>
      <c r="H118" s="19"/>
    </row>
    <row r="119" customHeight="1" spans="1:8">
      <c r="A119" s="29">
        <v>317.1</v>
      </c>
      <c r="B119" s="30">
        <v>131.31</v>
      </c>
      <c r="C119" s="30">
        <v>131.47</v>
      </c>
      <c r="D119" s="30">
        <v>0</v>
      </c>
      <c r="E119" s="30">
        <v>38</v>
      </c>
      <c r="F119" s="32">
        <f t="shared" si="1"/>
        <v>2.41489604752113</v>
      </c>
      <c r="G119" s="19"/>
      <c r="H119" s="19"/>
    </row>
    <row r="120" customHeight="1" spans="1:8">
      <c r="A120" s="29">
        <v>317.9</v>
      </c>
      <c r="B120" s="30">
        <v>132.3</v>
      </c>
      <c r="C120" s="30">
        <v>132.45</v>
      </c>
      <c r="D120" s="30">
        <v>0</v>
      </c>
      <c r="E120" s="30">
        <v>38</v>
      </c>
      <c r="F120" s="32">
        <f t="shared" si="1"/>
        <v>2.40287226001512</v>
      </c>
      <c r="G120" s="19"/>
      <c r="H120" s="19"/>
    </row>
    <row r="121" customHeight="1" spans="1:8">
      <c r="A121" s="29">
        <v>318.7</v>
      </c>
      <c r="B121" s="30">
        <v>133.3</v>
      </c>
      <c r="C121" s="30">
        <v>133.43</v>
      </c>
      <c r="D121" s="30">
        <v>0</v>
      </c>
      <c r="E121" s="30">
        <v>38</v>
      </c>
      <c r="F121" s="32">
        <f t="shared" si="1"/>
        <v>2.39084771192798</v>
      </c>
      <c r="G121" s="19"/>
      <c r="H121" s="19"/>
    </row>
    <row r="122" customHeight="1" spans="1:8">
      <c r="A122" s="29">
        <v>320.2</v>
      </c>
      <c r="B122" s="30">
        <v>135.17</v>
      </c>
      <c r="C122" s="30">
        <v>135.28</v>
      </c>
      <c r="D122" s="30">
        <v>0</v>
      </c>
      <c r="E122" s="30">
        <v>38</v>
      </c>
      <c r="F122" s="32">
        <f t="shared" si="1"/>
        <v>2.36886883184138</v>
      </c>
      <c r="G122" s="19"/>
      <c r="H122" s="19"/>
    </row>
    <row r="123" customHeight="1" spans="1:8">
      <c r="A123" s="29">
        <v>322.7</v>
      </c>
      <c r="B123" s="30">
        <v>136.25</v>
      </c>
      <c r="C123" s="30">
        <v>136.26</v>
      </c>
      <c r="D123" s="30">
        <v>0</v>
      </c>
      <c r="E123" s="30">
        <v>38</v>
      </c>
      <c r="F123" s="32">
        <f t="shared" si="1"/>
        <v>2.36844036697248</v>
      </c>
      <c r="G123" s="19"/>
      <c r="H123" s="19"/>
    </row>
    <row r="124" customHeight="1" spans="1:8">
      <c r="A124" s="29">
        <v>327.3</v>
      </c>
      <c r="B124" s="30">
        <v>137.16</v>
      </c>
      <c r="C124" s="30">
        <v>137.24</v>
      </c>
      <c r="D124" s="30">
        <v>0</v>
      </c>
      <c r="E124" s="30">
        <v>39</v>
      </c>
      <c r="F124" s="32">
        <f t="shared" si="1"/>
        <v>2.38626421697288</v>
      </c>
      <c r="G124" s="19"/>
      <c r="H124" s="19"/>
    </row>
    <row r="125" customHeight="1" spans="1:8">
      <c r="A125" s="29">
        <v>329.2</v>
      </c>
      <c r="B125" s="30">
        <v>138.05</v>
      </c>
      <c r="C125" s="30">
        <v>138.22</v>
      </c>
      <c r="D125" s="30">
        <v>0</v>
      </c>
      <c r="E125" s="30">
        <v>39</v>
      </c>
      <c r="F125" s="32">
        <f t="shared" si="1"/>
        <v>2.38464324520101</v>
      </c>
      <c r="G125" s="19"/>
      <c r="H125" s="19"/>
    </row>
    <row r="126" customHeight="1" spans="1:8">
      <c r="A126" s="29">
        <v>330.7</v>
      </c>
      <c r="B126" s="30">
        <v>138.99</v>
      </c>
      <c r="C126" s="30">
        <v>139.2</v>
      </c>
      <c r="D126" s="30">
        <v>0</v>
      </c>
      <c r="E126" s="30">
        <v>39</v>
      </c>
      <c r="F126" s="32">
        <f t="shared" si="1"/>
        <v>2.3793078638751</v>
      </c>
      <c r="G126" s="19"/>
      <c r="H126" s="1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4"/>
  <sheetViews>
    <sheetView workbookViewId="0">
      <selection activeCell="A1" sqref="A1"/>
    </sheetView>
  </sheetViews>
  <sheetFormatPr defaultColWidth="9" defaultRowHeight="13.5" customHeight="1" outlineLevelCol="7"/>
  <cols>
    <col min="1" max="1" width="9.16153846153846" style="2"/>
    <col min="2" max="2" width="10.1692307692308" style="2"/>
    <col min="3" max="3" width="14.1615384615385" style="2"/>
    <col min="4" max="4" width="10.1692307692308" style="2"/>
    <col min="5" max="5" width="9.16153846153846" style="1"/>
    <col min="6" max="6" width="12.1615384615385" style="1"/>
    <col min="7" max="7" width="15.1615384615385" style="2"/>
    <col min="8" max="8" width="7" style="1" customWidth="1"/>
  </cols>
  <sheetData>
    <row r="1" customHeight="1" spans="1:8">
      <c r="A1" s="3" t="s">
        <v>68</v>
      </c>
      <c r="B1" s="3" t="s">
        <v>69</v>
      </c>
      <c r="C1" s="3" t="s">
        <v>84</v>
      </c>
      <c r="D1" s="3">
        <v>140</v>
      </c>
      <c r="E1" s="3" t="s">
        <v>85</v>
      </c>
      <c r="F1" s="25" t="s">
        <v>86</v>
      </c>
      <c r="G1" s="26"/>
      <c r="H1" s="27"/>
    </row>
    <row r="2" ht="15.75" customHeight="1" spans="1:8">
      <c r="A2" s="28" t="s">
        <v>75</v>
      </c>
      <c r="B2" s="28" t="s">
        <v>87</v>
      </c>
      <c r="C2" s="28" t="s">
        <v>78</v>
      </c>
      <c r="D2" s="28" t="s">
        <v>88</v>
      </c>
      <c r="E2" s="28" t="s">
        <v>89</v>
      </c>
      <c r="F2" s="3" t="s">
        <v>81</v>
      </c>
      <c r="G2" s="3" t="s">
        <v>90</v>
      </c>
      <c r="H2" s="3" t="s">
        <v>91</v>
      </c>
    </row>
    <row r="3" customHeight="1" spans="1:8">
      <c r="A3" s="29">
        <v>0</v>
      </c>
      <c r="B3" s="30">
        <v>4.15</v>
      </c>
      <c r="C3" s="30">
        <v>0</v>
      </c>
      <c r="D3" s="30">
        <v>183.03</v>
      </c>
      <c r="E3" s="30">
        <v>36</v>
      </c>
    </row>
    <row r="4" customHeight="1" spans="1:8">
      <c r="A4" s="29">
        <v>3.1</v>
      </c>
      <c r="B4" s="30">
        <v>7.69</v>
      </c>
      <c r="C4" s="30">
        <v>0</v>
      </c>
      <c r="D4" s="30">
        <v>182.72</v>
      </c>
      <c r="E4" s="30">
        <v>36</v>
      </c>
    </row>
    <row r="5" customHeight="1" spans="1:8">
      <c r="A5" s="29">
        <v>6.5</v>
      </c>
      <c r="B5" s="30">
        <v>0.93</v>
      </c>
      <c r="C5" s="30">
        <v>0</v>
      </c>
      <c r="D5" s="30">
        <v>183.38</v>
      </c>
      <c r="E5" s="30">
        <v>36</v>
      </c>
    </row>
    <row r="6" customHeight="1" spans="1:8">
      <c r="A6" s="29">
        <v>7.1</v>
      </c>
      <c r="B6" s="30">
        <v>2.99</v>
      </c>
      <c r="C6" s="30">
        <v>0</v>
      </c>
      <c r="D6" s="30">
        <v>182.73</v>
      </c>
      <c r="E6" s="30">
        <v>37</v>
      </c>
      <c r="F6" s="19"/>
      <c r="G6" s="19"/>
      <c r="H6" s="19"/>
    </row>
    <row r="7" customHeight="1" spans="1:8">
      <c r="A7" s="29">
        <v>8.7</v>
      </c>
      <c r="B7" s="30">
        <v>5.25</v>
      </c>
      <c r="C7" s="30">
        <v>0</v>
      </c>
      <c r="D7" s="30">
        <v>183.07</v>
      </c>
      <c r="E7" s="30">
        <v>37</v>
      </c>
      <c r="F7" s="19"/>
      <c r="G7" s="19"/>
      <c r="H7" s="19"/>
    </row>
    <row r="8" customHeight="1" spans="1:8">
      <c r="A8" s="29">
        <v>9.1</v>
      </c>
      <c r="B8" s="30">
        <v>4.14</v>
      </c>
      <c r="C8" s="30">
        <v>0</v>
      </c>
      <c r="D8" s="30">
        <v>182.89</v>
      </c>
      <c r="E8" s="30">
        <v>37</v>
      </c>
      <c r="F8" s="19"/>
      <c r="G8" s="19"/>
      <c r="H8" s="19"/>
    </row>
    <row r="9" customHeight="1" spans="1:8">
      <c r="A9" s="29">
        <v>9.5</v>
      </c>
      <c r="B9" s="30">
        <v>2.23</v>
      </c>
      <c r="C9" s="30">
        <v>0</v>
      </c>
      <c r="D9" s="30">
        <v>182.55</v>
      </c>
      <c r="E9" s="30">
        <v>37</v>
      </c>
      <c r="F9" s="19"/>
      <c r="G9" s="19"/>
      <c r="H9" s="19"/>
    </row>
    <row r="10" customHeight="1" spans="1:8">
      <c r="A10" s="29">
        <v>10</v>
      </c>
      <c r="B10" s="30">
        <v>4.64</v>
      </c>
      <c r="C10" s="30">
        <v>0</v>
      </c>
      <c r="D10" s="30">
        <v>182.87</v>
      </c>
      <c r="E10" s="30">
        <v>37</v>
      </c>
      <c r="F10" s="19"/>
      <c r="G10" s="19"/>
      <c r="H10" s="19"/>
    </row>
    <row r="11" customHeight="1" spans="1:8">
      <c r="A11" s="29">
        <v>10.3</v>
      </c>
      <c r="B11" s="30">
        <v>7.76</v>
      </c>
      <c r="C11" s="30">
        <v>0</v>
      </c>
      <c r="D11" s="30">
        <v>182.22</v>
      </c>
      <c r="E11" s="30">
        <v>37</v>
      </c>
      <c r="F11" s="19"/>
      <c r="G11" s="19"/>
      <c r="H11" s="19"/>
    </row>
    <row r="12" customHeight="1" spans="1:8">
      <c r="A12" s="29">
        <v>11.4</v>
      </c>
      <c r="B12" s="30">
        <v>7.11</v>
      </c>
      <c r="C12" s="30">
        <v>0</v>
      </c>
      <c r="D12" s="30">
        <v>181.85</v>
      </c>
      <c r="E12" s="30">
        <v>37</v>
      </c>
      <c r="F12" s="19"/>
      <c r="G12" s="19"/>
      <c r="H12" s="19"/>
    </row>
    <row r="13" customHeight="1" spans="1:8">
      <c r="A13" s="29">
        <v>12.6</v>
      </c>
      <c r="B13" s="30">
        <v>8.01</v>
      </c>
      <c r="C13" s="30">
        <v>0</v>
      </c>
      <c r="D13" s="30">
        <v>181.69</v>
      </c>
      <c r="E13" s="30">
        <v>37</v>
      </c>
      <c r="F13" s="19"/>
      <c r="G13" s="19"/>
      <c r="H13" s="19"/>
    </row>
    <row r="14" customHeight="1" spans="1:8">
      <c r="A14" s="29">
        <v>13.2</v>
      </c>
      <c r="B14" s="30">
        <v>5.98</v>
      </c>
      <c r="C14" s="30">
        <v>0</v>
      </c>
      <c r="D14" s="30">
        <v>182.13</v>
      </c>
      <c r="E14" s="30">
        <v>37</v>
      </c>
      <c r="F14" s="19"/>
      <c r="G14" s="19"/>
      <c r="H14" s="19"/>
    </row>
    <row r="15" customHeight="1" spans="1:8">
      <c r="A15" s="29">
        <v>14.5</v>
      </c>
      <c r="B15" s="30">
        <v>2.84</v>
      </c>
      <c r="C15" s="30">
        <v>0</v>
      </c>
      <c r="D15" s="30">
        <v>181.61</v>
      </c>
      <c r="E15" s="30">
        <v>37</v>
      </c>
      <c r="F15" s="19"/>
      <c r="G15" s="19"/>
      <c r="H15" s="19"/>
    </row>
    <row r="16" customHeight="1" spans="1:8">
      <c r="A16" s="29">
        <v>15.2</v>
      </c>
      <c r="B16" s="30">
        <v>9.89</v>
      </c>
      <c r="C16" s="30">
        <v>0</v>
      </c>
      <c r="D16" s="30">
        <v>180.96</v>
      </c>
      <c r="E16" s="30">
        <v>37</v>
      </c>
      <c r="F16" s="19"/>
      <c r="G16" s="19"/>
      <c r="H16" s="19"/>
    </row>
    <row r="17" customHeight="1" spans="1:8">
      <c r="A17" s="29">
        <v>18.7</v>
      </c>
      <c r="B17" s="30">
        <v>9.13</v>
      </c>
      <c r="C17" s="30">
        <v>0</v>
      </c>
      <c r="D17" s="30">
        <v>180.17</v>
      </c>
      <c r="E17" s="30">
        <v>37</v>
      </c>
      <c r="F17" s="19"/>
      <c r="G17" s="19"/>
      <c r="H17" s="19"/>
    </row>
    <row r="18" customHeight="1" spans="1:8">
      <c r="A18" s="29">
        <v>19.8</v>
      </c>
      <c r="B18" s="30">
        <v>9.72</v>
      </c>
      <c r="C18" s="30">
        <v>0</v>
      </c>
      <c r="D18" s="30">
        <v>180.33</v>
      </c>
      <c r="E18" s="30">
        <v>37</v>
      </c>
      <c r="F18" s="19"/>
      <c r="G18" s="19"/>
      <c r="H18" s="19"/>
    </row>
    <row r="19" customHeight="1" spans="1:8">
      <c r="A19" s="29">
        <v>20.3</v>
      </c>
      <c r="B19" s="30">
        <v>6.45</v>
      </c>
      <c r="C19" s="30">
        <v>0</v>
      </c>
      <c r="D19" s="30">
        <v>179.42</v>
      </c>
      <c r="E19" s="30">
        <v>37</v>
      </c>
      <c r="F19" s="19"/>
      <c r="G19" s="19"/>
      <c r="H19" s="19"/>
    </row>
    <row r="20" customHeight="1" spans="1:8">
      <c r="A20" s="29">
        <v>25.1</v>
      </c>
      <c r="B20" s="30">
        <v>11.99</v>
      </c>
      <c r="C20" s="30">
        <v>0</v>
      </c>
      <c r="D20" s="30">
        <v>179.13</v>
      </c>
      <c r="E20" s="30">
        <v>37</v>
      </c>
      <c r="F20" s="19"/>
      <c r="G20" s="19"/>
      <c r="H20" s="19"/>
    </row>
    <row r="21" customHeight="1" spans="1:8">
      <c r="A21" s="29">
        <v>30.7</v>
      </c>
      <c r="B21" s="30">
        <v>6.72</v>
      </c>
      <c r="C21" s="30">
        <v>0</v>
      </c>
      <c r="D21" s="30">
        <v>178.66</v>
      </c>
      <c r="E21" s="30">
        <v>37</v>
      </c>
      <c r="F21" s="19"/>
      <c r="G21" s="19"/>
      <c r="H21" s="19"/>
    </row>
    <row r="22" customHeight="1" spans="1:8">
      <c r="A22" s="29">
        <v>31.5</v>
      </c>
      <c r="B22" s="30">
        <v>9.25</v>
      </c>
      <c r="C22" s="30">
        <v>0</v>
      </c>
      <c r="D22" s="30">
        <v>178.02</v>
      </c>
      <c r="E22" s="30">
        <v>37</v>
      </c>
      <c r="F22" s="19"/>
      <c r="G22" s="19"/>
      <c r="H22" s="19"/>
    </row>
    <row r="23" customHeight="1" spans="1:8">
      <c r="A23" s="29">
        <v>32.8</v>
      </c>
      <c r="B23" s="30">
        <v>8.09</v>
      </c>
      <c r="C23" s="30">
        <v>0</v>
      </c>
      <c r="D23" s="30">
        <v>177.48</v>
      </c>
      <c r="E23" s="30">
        <v>37</v>
      </c>
      <c r="F23" s="19"/>
      <c r="G23" s="19"/>
      <c r="H23" s="19"/>
    </row>
    <row r="24" customHeight="1" spans="1:8">
      <c r="A24" s="29">
        <v>38.7</v>
      </c>
      <c r="B24" s="30">
        <v>10.64</v>
      </c>
      <c r="C24" s="30">
        <v>0</v>
      </c>
      <c r="D24" s="30">
        <v>177.44</v>
      </c>
      <c r="E24" s="30">
        <v>37</v>
      </c>
      <c r="F24" s="19"/>
      <c r="G24" s="19"/>
      <c r="H24" s="19"/>
    </row>
    <row r="25" customHeight="1" spans="1:8">
      <c r="A25" s="29">
        <v>41.2</v>
      </c>
      <c r="B25" s="30">
        <v>11.37</v>
      </c>
      <c r="C25" s="30">
        <v>0</v>
      </c>
      <c r="D25" s="30">
        <v>176.35</v>
      </c>
      <c r="E25" s="30">
        <v>37</v>
      </c>
      <c r="F25" s="19"/>
      <c r="G25" s="19"/>
      <c r="H25" s="19"/>
    </row>
    <row r="26" customHeight="1" spans="1:8">
      <c r="A26" s="29">
        <v>48.4</v>
      </c>
      <c r="B26" s="30">
        <v>12.21</v>
      </c>
      <c r="C26" s="30">
        <v>0</v>
      </c>
      <c r="D26" s="30">
        <v>175.11</v>
      </c>
      <c r="E26" s="30">
        <v>38</v>
      </c>
      <c r="F26" s="19"/>
      <c r="G26" s="19"/>
      <c r="H26" s="19"/>
    </row>
    <row r="27" customHeight="1" spans="1:8">
      <c r="A27" s="29">
        <v>52.6</v>
      </c>
      <c r="B27" s="30">
        <v>15</v>
      </c>
      <c r="C27" s="30">
        <v>0</v>
      </c>
      <c r="D27" s="30">
        <v>174.78</v>
      </c>
      <c r="E27" s="30">
        <v>38</v>
      </c>
      <c r="F27" s="19"/>
      <c r="G27" s="19"/>
      <c r="H27" s="19"/>
    </row>
    <row r="28" customHeight="1" spans="1:8">
      <c r="A28" s="29">
        <v>54.5</v>
      </c>
      <c r="B28" s="30">
        <v>19.55</v>
      </c>
      <c r="C28" s="30">
        <v>0</v>
      </c>
      <c r="D28" s="30">
        <v>173.35</v>
      </c>
      <c r="E28" s="30">
        <v>38</v>
      </c>
      <c r="F28" s="19"/>
      <c r="G28" s="19"/>
      <c r="H28" s="19"/>
    </row>
    <row r="29" customHeight="1" spans="1:8">
      <c r="A29" s="29">
        <v>59.1</v>
      </c>
      <c r="B29" s="30">
        <v>17.08</v>
      </c>
      <c r="C29" s="30">
        <v>0</v>
      </c>
      <c r="D29" s="30">
        <v>172.84</v>
      </c>
      <c r="E29" s="30">
        <v>38</v>
      </c>
      <c r="F29" s="19"/>
      <c r="G29" s="19"/>
      <c r="H29" s="19"/>
    </row>
    <row r="30" customHeight="1" spans="1:8">
      <c r="A30" s="29">
        <v>67.2</v>
      </c>
      <c r="B30" s="30">
        <v>21.07</v>
      </c>
      <c r="C30" s="30">
        <v>0</v>
      </c>
      <c r="D30" s="30">
        <v>171.99</v>
      </c>
      <c r="E30" s="30">
        <v>38</v>
      </c>
      <c r="F30" s="19"/>
      <c r="G30" s="19"/>
      <c r="H30" s="19"/>
    </row>
    <row r="31" customHeight="1" spans="1:8">
      <c r="A31" s="29">
        <v>73.2</v>
      </c>
      <c r="B31" s="30">
        <v>19.41</v>
      </c>
      <c r="C31" s="30">
        <v>0</v>
      </c>
      <c r="D31" s="30">
        <v>169.63</v>
      </c>
      <c r="E31" s="30">
        <v>38</v>
      </c>
      <c r="F31" s="19"/>
      <c r="G31" s="19"/>
      <c r="H31" s="19"/>
    </row>
    <row r="32" customHeight="1" spans="1:8">
      <c r="A32" s="29">
        <v>74</v>
      </c>
      <c r="B32" s="30">
        <v>25.5</v>
      </c>
      <c r="C32" s="30">
        <v>0</v>
      </c>
      <c r="D32" s="30">
        <v>169.61</v>
      </c>
      <c r="E32" s="30">
        <v>38</v>
      </c>
      <c r="F32" s="19"/>
      <c r="G32" s="19"/>
      <c r="H32" s="19"/>
    </row>
    <row r="33" customHeight="1" spans="1:8">
      <c r="A33" s="29">
        <v>77.3</v>
      </c>
      <c r="B33" s="30">
        <v>24.14</v>
      </c>
      <c r="C33" s="30">
        <v>0</v>
      </c>
      <c r="D33" s="30">
        <v>168.2</v>
      </c>
      <c r="E33" s="30">
        <v>38</v>
      </c>
      <c r="F33" s="19"/>
      <c r="G33" s="19"/>
      <c r="H33" s="19"/>
    </row>
    <row r="34" customHeight="1" spans="1:8">
      <c r="A34" s="29">
        <v>90.5</v>
      </c>
      <c r="B34" s="30">
        <v>28.35</v>
      </c>
      <c r="C34" s="30">
        <v>0</v>
      </c>
      <c r="D34" s="30">
        <v>166.54</v>
      </c>
      <c r="E34" s="30">
        <v>38</v>
      </c>
      <c r="F34" s="19"/>
      <c r="G34" s="19"/>
      <c r="H34" s="19"/>
    </row>
    <row r="35" customHeight="1" spans="1:8">
      <c r="A35" s="29">
        <v>101.6</v>
      </c>
      <c r="B35" s="30">
        <v>27.06</v>
      </c>
      <c r="C35" s="30">
        <v>0</v>
      </c>
      <c r="D35" s="30">
        <v>163.7</v>
      </c>
      <c r="E35" s="30">
        <v>38</v>
      </c>
      <c r="F35" s="19"/>
      <c r="G35" s="19"/>
      <c r="H35" s="19"/>
    </row>
    <row r="36" customHeight="1" spans="1:8">
      <c r="A36" s="29">
        <v>106.6</v>
      </c>
      <c r="B36" s="30">
        <v>41.74</v>
      </c>
      <c r="C36" s="30">
        <v>0</v>
      </c>
      <c r="D36" s="30">
        <v>156.36</v>
      </c>
      <c r="E36" s="30">
        <v>38</v>
      </c>
      <c r="F36" s="19"/>
      <c r="G36" s="19"/>
      <c r="H36" s="19"/>
    </row>
    <row r="37" customHeight="1" spans="1:8">
      <c r="A37" s="29">
        <v>110.3</v>
      </c>
      <c r="B37" s="30">
        <v>47.17</v>
      </c>
      <c r="C37" s="30">
        <v>0</v>
      </c>
      <c r="D37" s="30">
        <v>156.31</v>
      </c>
      <c r="E37" s="30">
        <v>38</v>
      </c>
      <c r="F37" s="19"/>
      <c r="G37" s="19"/>
      <c r="H37" s="19"/>
    </row>
    <row r="38" customHeight="1" spans="1:8">
      <c r="A38" s="29">
        <v>113.5</v>
      </c>
      <c r="B38" s="30">
        <v>43.04</v>
      </c>
      <c r="C38" s="30">
        <v>0</v>
      </c>
      <c r="D38" s="30">
        <v>154.62</v>
      </c>
      <c r="E38" s="30">
        <v>38</v>
      </c>
      <c r="F38" s="19"/>
      <c r="G38" s="19"/>
      <c r="H38" s="19"/>
    </row>
    <row r="39" customHeight="1" spans="1:8">
      <c r="A39" s="29">
        <v>116.5</v>
      </c>
      <c r="B39" s="30">
        <v>48.08</v>
      </c>
      <c r="C39" s="30">
        <v>0</v>
      </c>
      <c r="D39" s="30">
        <v>154.13</v>
      </c>
      <c r="E39" s="30">
        <v>38</v>
      </c>
      <c r="F39" s="19"/>
      <c r="G39" s="19"/>
      <c r="H39" s="19"/>
    </row>
    <row r="40" customHeight="1" spans="1:8">
      <c r="A40" s="29">
        <v>121.2</v>
      </c>
      <c r="B40" s="30">
        <v>44.24</v>
      </c>
      <c r="C40" s="30">
        <v>0</v>
      </c>
      <c r="D40" s="30">
        <v>152.67</v>
      </c>
      <c r="E40" s="30">
        <v>38</v>
      </c>
      <c r="F40" s="19"/>
      <c r="G40" s="19"/>
      <c r="H40" s="19"/>
    </row>
    <row r="41" customHeight="1" spans="1:8">
      <c r="A41" s="29">
        <v>124.6</v>
      </c>
      <c r="B41" s="30">
        <v>51.67</v>
      </c>
      <c r="C41" s="30">
        <v>0</v>
      </c>
      <c r="D41" s="30">
        <v>151.6</v>
      </c>
      <c r="E41" s="30">
        <v>38</v>
      </c>
      <c r="F41" s="19"/>
      <c r="G41" s="19"/>
      <c r="H41" s="19"/>
    </row>
    <row r="42" customHeight="1" spans="1:8">
      <c r="A42" s="29">
        <v>129</v>
      </c>
      <c r="B42" s="30">
        <v>51.41</v>
      </c>
      <c r="C42" s="30">
        <v>0</v>
      </c>
      <c r="D42" s="30">
        <v>151.04</v>
      </c>
      <c r="E42" s="30">
        <v>38</v>
      </c>
      <c r="F42" s="19"/>
      <c r="G42" s="19"/>
      <c r="H42" s="19"/>
    </row>
    <row r="43" customHeight="1" spans="1:8">
      <c r="A43" s="29">
        <v>133.3</v>
      </c>
      <c r="B43" s="30">
        <v>53.04</v>
      </c>
      <c r="C43" s="30">
        <v>0</v>
      </c>
      <c r="D43" s="30">
        <v>149.26</v>
      </c>
      <c r="E43" s="30">
        <v>38</v>
      </c>
      <c r="F43" s="19"/>
      <c r="G43" s="19"/>
      <c r="H43" s="19"/>
    </row>
    <row r="44" customHeight="1" spans="1:8">
      <c r="A44" s="29">
        <v>140.1</v>
      </c>
      <c r="B44" s="30">
        <v>58.6</v>
      </c>
      <c r="C44" s="30">
        <v>0</v>
      </c>
      <c r="D44" s="30">
        <v>148.41</v>
      </c>
      <c r="E44" s="30">
        <v>38</v>
      </c>
      <c r="F44" s="19"/>
      <c r="G44" s="19"/>
      <c r="H44" s="19"/>
    </row>
    <row r="45" customHeight="1" spans="1:8">
      <c r="A45" s="29">
        <v>146.7</v>
      </c>
      <c r="B45" s="30">
        <v>55.47</v>
      </c>
      <c r="C45" s="30">
        <v>0</v>
      </c>
      <c r="D45" s="30">
        <v>147.35</v>
      </c>
      <c r="E45" s="30">
        <v>39</v>
      </c>
      <c r="F45" s="19"/>
      <c r="G45" s="19"/>
      <c r="H45" s="19"/>
    </row>
    <row r="46" customHeight="1" spans="1:8">
      <c r="A46" s="29">
        <v>173.9</v>
      </c>
      <c r="B46" s="30">
        <v>61.54</v>
      </c>
      <c r="C46" s="30">
        <v>0</v>
      </c>
      <c r="D46" s="30">
        <v>145.85</v>
      </c>
      <c r="E46" s="30">
        <v>39</v>
      </c>
      <c r="F46" s="19"/>
      <c r="G46" s="19"/>
      <c r="H46" s="19"/>
    </row>
    <row r="47" customHeight="1" spans="1:8">
      <c r="A47" s="29">
        <v>177.9</v>
      </c>
      <c r="B47" s="30">
        <v>63</v>
      </c>
      <c r="C47" s="30">
        <v>0</v>
      </c>
      <c r="D47" s="30">
        <v>144.28</v>
      </c>
      <c r="E47" s="30">
        <v>39</v>
      </c>
      <c r="F47" s="19"/>
      <c r="G47" s="19"/>
      <c r="H47" s="19"/>
    </row>
    <row r="48" customHeight="1" spans="1:8">
      <c r="A48" s="29">
        <v>180.9</v>
      </c>
      <c r="B48" s="30">
        <v>74.42</v>
      </c>
      <c r="C48" s="30">
        <v>0</v>
      </c>
      <c r="D48" s="30">
        <v>138.88</v>
      </c>
      <c r="E48" s="30">
        <v>39</v>
      </c>
      <c r="F48" s="19"/>
      <c r="G48" s="19"/>
      <c r="H48" s="19"/>
    </row>
    <row r="49" customHeight="1" spans="1:8">
      <c r="A49" s="29">
        <v>197.2</v>
      </c>
      <c r="B49" s="30">
        <v>72.17</v>
      </c>
      <c r="C49" s="30">
        <v>0</v>
      </c>
      <c r="D49" s="30">
        <v>137.46</v>
      </c>
      <c r="E49" s="30">
        <v>39</v>
      </c>
      <c r="F49" s="19"/>
      <c r="G49" s="19"/>
      <c r="H49" s="19"/>
    </row>
    <row r="50" customHeight="1" spans="1:8">
      <c r="A50" s="29">
        <v>212.3</v>
      </c>
      <c r="B50" s="30">
        <v>73.82</v>
      </c>
      <c r="C50" s="30">
        <v>0</v>
      </c>
      <c r="D50" s="30">
        <v>134.57</v>
      </c>
      <c r="E50" s="30">
        <v>39</v>
      </c>
      <c r="F50" s="19"/>
      <c r="G50" s="19"/>
      <c r="H50" s="19"/>
    </row>
    <row r="51" customHeight="1" spans="1:8">
      <c r="A51" s="29">
        <v>215.6</v>
      </c>
      <c r="B51" s="30">
        <v>89.46</v>
      </c>
      <c r="C51" s="30">
        <v>0</v>
      </c>
      <c r="D51" s="30">
        <v>130.74</v>
      </c>
      <c r="E51" s="30">
        <v>39</v>
      </c>
      <c r="F51" s="19"/>
      <c r="G51" s="19"/>
      <c r="H51" s="19"/>
    </row>
    <row r="52" customHeight="1" spans="1:8">
      <c r="A52" s="29">
        <v>235.8</v>
      </c>
      <c r="B52" s="30">
        <v>94.13</v>
      </c>
      <c r="C52" s="30">
        <v>0</v>
      </c>
      <c r="D52" s="30">
        <v>128.25</v>
      </c>
      <c r="E52" s="30">
        <v>39</v>
      </c>
      <c r="F52" s="19"/>
      <c r="G52" s="19"/>
      <c r="H52" s="19"/>
    </row>
    <row r="53" customHeight="1" spans="1:8">
      <c r="A53" s="29">
        <v>236.5</v>
      </c>
      <c r="B53" s="30">
        <v>100.78</v>
      </c>
      <c r="C53" s="30">
        <v>0</v>
      </c>
      <c r="D53" s="30">
        <v>125.46</v>
      </c>
      <c r="E53" s="30">
        <v>39</v>
      </c>
      <c r="F53" s="19"/>
      <c r="G53" s="19"/>
      <c r="H53" s="19"/>
    </row>
    <row r="54" customHeight="1" spans="1:8">
      <c r="A54" s="29">
        <v>241.2</v>
      </c>
      <c r="B54" s="30">
        <v>103.8</v>
      </c>
      <c r="C54" s="30">
        <v>0</v>
      </c>
      <c r="D54" s="30">
        <v>123.89</v>
      </c>
      <c r="E54" s="30">
        <v>39</v>
      </c>
      <c r="F54" s="19"/>
      <c r="G54" s="19"/>
      <c r="H54" s="19"/>
    </row>
    <row r="55" customHeight="1" spans="1:8">
      <c r="A55" s="29">
        <v>264.4</v>
      </c>
      <c r="B55" s="30">
        <v>108.15</v>
      </c>
      <c r="C55" s="30">
        <v>0</v>
      </c>
      <c r="D55" s="30">
        <v>120.82</v>
      </c>
      <c r="E55" s="30">
        <v>39</v>
      </c>
      <c r="F55" s="19"/>
      <c r="G55" s="19"/>
      <c r="H55" s="19"/>
    </row>
    <row r="56" customHeight="1" spans="1:8">
      <c r="A56" s="29">
        <v>283.1</v>
      </c>
      <c r="B56" s="30">
        <v>117.42</v>
      </c>
      <c r="C56" s="30">
        <v>0</v>
      </c>
      <c r="D56" s="30">
        <v>117.84</v>
      </c>
      <c r="E56" s="30">
        <v>39</v>
      </c>
      <c r="F56" s="19"/>
      <c r="G56" s="19"/>
      <c r="H56" s="19"/>
    </row>
    <row r="57" customHeight="1" spans="1:8">
      <c r="A57" s="29">
        <v>285.5</v>
      </c>
      <c r="B57" s="30">
        <v>118.42</v>
      </c>
      <c r="C57" s="30">
        <v>0</v>
      </c>
      <c r="D57" s="30">
        <v>116.03</v>
      </c>
      <c r="E57" s="30">
        <v>39</v>
      </c>
      <c r="F57" s="19"/>
      <c r="G57" s="19"/>
      <c r="H57" s="19"/>
    </row>
    <row r="58" customHeight="1" spans="1:8">
      <c r="A58" s="29">
        <v>305.1</v>
      </c>
      <c r="B58" s="30">
        <v>129.91</v>
      </c>
      <c r="C58" s="30">
        <v>0</v>
      </c>
      <c r="D58" s="30">
        <v>112.25</v>
      </c>
      <c r="E58" s="30">
        <v>39</v>
      </c>
      <c r="F58" s="19"/>
      <c r="G58" s="19"/>
      <c r="H58" s="19"/>
    </row>
    <row r="59" customHeight="1" spans="1:8">
      <c r="A59" s="29">
        <v>308.9</v>
      </c>
      <c r="B59" s="30">
        <v>136.83</v>
      </c>
      <c r="C59" s="30">
        <v>0</v>
      </c>
      <c r="D59" s="30">
        <v>108.12</v>
      </c>
      <c r="E59" s="30">
        <v>39</v>
      </c>
      <c r="F59" s="19"/>
      <c r="G59" s="19"/>
      <c r="H59" s="19"/>
    </row>
    <row r="60" customHeight="1" spans="1:8">
      <c r="A60" s="29">
        <v>325</v>
      </c>
      <c r="B60" s="30">
        <v>143.01</v>
      </c>
      <c r="C60" s="30">
        <v>0</v>
      </c>
      <c r="D60" s="30">
        <v>105.72</v>
      </c>
      <c r="E60" s="30">
        <v>39</v>
      </c>
      <c r="F60" s="19"/>
      <c r="G60" s="19"/>
      <c r="H60" s="19"/>
    </row>
    <row r="61" customHeight="1" spans="1:8">
      <c r="A61" s="29">
        <v>326.4</v>
      </c>
      <c r="B61" s="30">
        <v>139.45</v>
      </c>
      <c r="C61" s="30">
        <v>0</v>
      </c>
      <c r="D61" s="30">
        <v>90.7</v>
      </c>
      <c r="E61" s="30">
        <v>40</v>
      </c>
      <c r="F61" s="19"/>
      <c r="G61" s="19"/>
      <c r="H61" s="19"/>
    </row>
    <row r="62" customHeight="1" spans="1:8">
      <c r="A62" s="29">
        <v>339.8</v>
      </c>
      <c r="B62" s="30">
        <v>144.54</v>
      </c>
      <c r="C62" s="30">
        <v>0</v>
      </c>
      <c r="D62" s="30">
        <v>49.64</v>
      </c>
      <c r="E62" s="30">
        <v>40</v>
      </c>
      <c r="F62" s="19"/>
      <c r="G62" s="19"/>
      <c r="H62" s="19"/>
    </row>
    <row r="63" customHeight="1" spans="1:8">
      <c r="A63" s="29">
        <v>350.4</v>
      </c>
      <c r="B63" s="30">
        <v>146.34</v>
      </c>
      <c r="C63" s="30">
        <v>0</v>
      </c>
      <c r="D63" s="30">
        <v>8.29</v>
      </c>
      <c r="E63" s="30">
        <v>40</v>
      </c>
      <c r="F63" s="19"/>
      <c r="G63" s="19"/>
      <c r="H63" s="19"/>
    </row>
    <row r="64" customHeight="1" spans="1:8">
      <c r="A64" s="29">
        <v>359</v>
      </c>
      <c r="B64" s="30">
        <v>137.87</v>
      </c>
      <c r="C64" s="30">
        <v>0</v>
      </c>
      <c r="D64" s="30">
        <v>0</v>
      </c>
      <c r="E64" s="30">
        <v>40</v>
      </c>
      <c r="F64" s="19"/>
      <c r="G64" s="19"/>
      <c r="H64" s="19"/>
    </row>
  </sheetData>
  <mergeCells count="1">
    <mergeCell ref="F1:H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00"/>
  <sheetViews>
    <sheetView workbookViewId="0">
      <selection activeCell="A1" sqref="A1"/>
    </sheetView>
  </sheetViews>
  <sheetFormatPr defaultColWidth="9" defaultRowHeight="13.5" customHeight="1"/>
  <cols>
    <col min="1" max="1" width="9.16153846153846" style="2"/>
    <col min="2" max="2" width="13.1692307692308" style="2" customWidth="1"/>
    <col min="3" max="3" width="14" style="2"/>
    <col min="4" max="4" width="8.33076923076923" style="1" customWidth="1"/>
    <col min="5" max="5" width="8.16153846153846" style="1" customWidth="1"/>
    <col min="6" max="6" width="8" style="1" customWidth="1"/>
    <col min="7" max="7" width="10.1692307692308" style="1" customWidth="1"/>
    <col min="8" max="9" width="10.8307692307692" style="1"/>
  </cols>
  <sheetData>
    <row r="1" ht="15.75" customHeight="1" spans="1:40">
      <c r="A1" s="3" t="s">
        <v>68</v>
      </c>
      <c r="B1" s="3" t="s">
        <v>69</v>
      </c>
      <c r="C1" s="4" t="s">
        <v>92</v>
      </c>
      <c r="D1" s="3" t="s">
        <v>72</v>
      </c>
      <c r="E1" s="10"/>
      <c r="F1" s="10"/>
      <c r="G1" s="9" t="s">
        <v>93</v>
      </c>
      <c r="H1" s="9" t="s">
        <v>94</v>
      </c>
      <c r="I1" s="21"/>
      <c r="J1" s="21"/>
      <c r="K1" s="11"/>
      <c r="L1" s="11"/>
      <c r="M1" s="11"/>
    </row>
    <row r="2" ht="15.75" customHeight="1" spans="1:40">
      <c r="A2" s="12" t="s">
        <v>75</v>
      </c>
      <c r="B2" s="12" t="s">
        <v>87</v>
      </c>
      <c r="C2" s="13" t="s">
        <v>78</v>
      </c>
      <c r="D2" s="12" t="s">
        <v>95</v>
      </c>
      <c r="E2" s="22"/>
      <c r="F2" s="22"/>
      <c r="G2" s="15" t="s">
        <v>96</v>
      </c>
      <c r="H2" s="22"/>
      <c r="I2" s="22"/>
      <c r="J2" s="12" t="s">
        <v>97</v>
      </c>
      <c r="K2" s="3" t="s">
        <v>98</v>
      </c>
      <c r="L2" s="11"/>
      <c r="M2" s="11"/>
    </row>
    <row r="3" ht="15.75" customHeight="1" spans="1:40">
      <c r="A3" s="23"/>
      <c r="B3" s="23"/>
      <c r="C3" s="23"/>
      <c r="D3" s="12" t="s">
        <v>99</v>
      </c>
      <c r="E3" s="12" t="s">
        <v>100</v>
      </c>
      <c r="F3" s="12" t="s">
        <v>101</v>
      </c>
      <c r="G3" s="3" t="s">
        <v>99</v>
      </c>
      <c r="H3" s="3" t="s">
        <v>100</v>
      </c>
      <c r="I3" s="3" t="s">
        <v>101</v>
      </c>
      <c r="J3" s="10"/>
      <c r="K3" s="10"/>
    </row>
    <row r="4" customHeight="1" spans="1:40">
      <c r="A4" s="2">
        <v>74</v>
      </c>
      <c r="B4" s="2">
        <v>25.2</v>
      </c>
      <c r="D4" s="2">
        <v>25</v>
      </c>
      <c r="E4" s="2">
        <v>29</v>
      </c>
      <c r="F4" s="2">
        <v>24.2</v>
      </c>
      <c r="G4" s="2">
        <v>100</v>
      </c>
      <c r="H4" s="2">
        <v>92</v>
      </c>
      <c r="I4" s="2">
        <v>74</v>
      </c>
      <c r="J4" s="2"/>
      <c r="K4" s="18" t="s">
        <v>102</v>
      </c>
      <c r="L4" s="18" t="s">
        <v>103</v>
      </c>
    </row>
    <row r="5" customHeight="1" spans="1:40">
      <c r="A5" s="2">
        <v>74.6</v>
      </c>
      <c r="B5" s="2">
        <v>26</v>
      </c>
      <c r="D5" s="2">
        <v>28</v>
      </c>
      <c r="E5" s="2">
        <v>30</v>
      </c>
      <c r="F5" s="2">
        <v>24.3</v>
      </c>
      <c r="G5" s="2">
        <v>92</v>
      </c>
      <c r="H5" s="2">
        <v>97</v>
      </c>
      <c r="I5" s="2">
        <v>72.7</v>
      </c>
      <c r="J5" s="2"/>
      <c r="K5" s="18" t="s">
        <v>104</v>
      </c>
      <c r="L5" s="18" t="s">
        <v>105</v>
      </c>
    </row>
    <row r="6" ht="15.75" customHeight="1" spans="1:40">
      <c r="A6" s="2">
        <v>80</v>
      </c>
      <c r="B6" s="2">
        <v>26.9</v>
      </c>
      <c r="D6" s="2">
        <v>29</v>
      </c>
      <c r="E6" s="2">
        <v>34</v>
      </c>
      <c r="F6" s="2">
        <v>25.2</v>
      </c>
      <c r="G6" s="2">
        <v>100</v>
      </c>
      <c r="H6" s="2">
        <v>93</v>
      </c>
      <c r="I6" s="2">
        <v>75.6</v>
      </c>
      <c r="J6" s="2"/>
      <c r="K6" s="18" t="s">
        <v>106</v>
      </c>
      <c r="L6" s="18" t="s">
        <v>107</v>
      </c>
    </row>
    <row r="7" customHeight="1" spans="1:40">
      <c r="A7" s="2">
        <v>80</v>
      </c>
      <c r="B7" s="2">
        <v>27</v>
      </c>
      <c r="D7" s="2">
        <v>25</v>
      </c>
      <c r="E7" s="2">
        <v>30</v>
      </c>
      <c r="F7" s="2">
        <v>25</v>
      </c>
      <c r="G7" s="2">
        <v>100</v>
      </c>
      <c r="H7" s="2">
        <v>85</v>
      </c>
      <c r="I7" s="2">
        <v>66.3</v>
      </c>
      <c r="J7" s="2"/>
      <c r="K7" s="18" t="s">
        <v>108</v>
      </c>
      <c r="L7" s="18" t="s">
        <v>107</v>
      </c>
    </row>
    <row r="8" customHeight="1" spans="1:40">
      <c r="A8" s="2">
        <v>84</v>
      </c>
      <c r="B8" s="2">
        <v>28</v>
      </c>
      <c r="D8" s="2">
        <v>24</v>
      </c>
      <c r="E8" s="2">
        <v>28</v>
      </c>
      <c r="F8" s="2">
        <v>25.6</v>
      </c>
      <c r="G8" s="2">
        <v>100</v>
      </c>
      <c r="H8" s="2">
        <v>92</v>
      </c>
      <c r="I8" s="2">
        <v>72.6</v>
      </c>
      <c r="K8" s="18" t="s">
        <v>109</v>
      </c>
      <c r="L8" s="18" t="s">
        <v>107</v>
      </c>
    </row>
    <row r="9" customHeight="1" spans="1:40">
      <c r="A9" s="2">
        <v>84</v>
      </c>
      <c r="B9" s="2">
        <v>28</v>
      </c>
      <c r="D9" s="2">
        <v>23</v>
      </c>
      <c r="E9" s="2">
        <v>26</v>
      </c>
      <c r="F9" s="2">
        <v>24</v>
      </c>
      <c r="G9" s="2">
        <v>100</v>
      </c>
      <c r="H9" s="2">
        <v>83</v>
      </c>
      <c r="I9" s="2">
        <v>63.9</v>
      </c>
      <c r="J9" s="2"/>
      <c r="K9" s="18" t="s">
        <v>110</v>
      </c>
      <c r="L9" s="18" t="s">
        <v>107</v>
      </c>
      <c r="M9" s="2"/>
    </row>
    <row r="10" customHeight="1" spans="1:40">
      <c r="A10" s="2">
        <v>87</v>
      </c>
      <c r="B10" s="2">
        <v>30</v>
      </c>
      <c r="D10" s="2">
        <v>22</v>
      </c>
      <c r="E10" s="2">
        <v>28</v>
      </c>
      <c r="F10" s="2">
        <v>23.2</v>
      </c>
      <c r="G10" s="2">
        <v>100</v>
      </c>
      <c r="H10" s="2">
        <v>86</v>
      </c>
      <c r="I10" s="2">
        <v>70.7</v>
      </c>
      <c r="J10" s="2"/>
      <c r="K10" s="18" t="s">
        <v>111</v>
      </c>
      <c r="L10" s="18" t="s">
        <v>107</v>
      </c>
    </row>
    <row r="11" customHeight="1" spans="1:40">
      <c r="A11" s="24"/>
      <c r="B11" s="24"/>
      <c r="C11" s="24"/>
      <c r="D11" s="24"/>
      <c r="E11" s="24"/>
      <c r="F11" s="24"/>
      <c r="G11" s="24"/>
      <c r="H11" s="24"/>
      <c r="I11" s="24"/>
    </row>
    <row r="12" customHeight="1" spans="1:40">
      <c r="A12" s="24"/>
      <c r="B12" s="24"/>
      <c r="C12" s="24"/>
      <c r="D12" s="24"/>
      <c r="E12" s="24"/>
      <c r="F12" s="24"/>
      <c r="G12" s="24"/>
      <c r="H12" s="24"/>
      <c r="I12" s="24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K12" s="19"/>
      <c r="AL12" s="19"/>
      <c r="AM12" s="19"/>
      <c r="AN12" s="19"/>
    </row>
    <row r="13" customHeight="1" spans="1:40">
      <c r="A13" s="24"/>
      <c r="B13" s="24"/>
      <c r="C13" s="24"/>
      <c r="D13" s="24"/>
      <c r="E13" s="24"/>
      <c r="F13" s="24"/>
      <c r="G13" s="24"/>
      <c r="H13" s="24"/>
      <c r="I13" s="24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K13" s="19"/>
      <c r="AL13" s="19"/>
      <c r="AM13" s="19"/>
      <c r="AN13" s="19"/>
    </row>
    <row r="14" customHeight="1" spans="1:40">
      <c r="D14" s="2"/>
      <c r="E14" s="2"/>
      <c r="F14" s="2"/>
      <c r="G14" s="2"/>
      <c r="H14" s="2"/>
      <c r="I14" s="2"/>
      <c r="J14" s="2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K14" s="19"/>
      <c r="AL14" s="19"/>
      <c r="AM14" s="19"/>
      <c r="AN14" s="19"/>
    </row>
    <row r="15" customHeight="1" spans="1:40">
      <c r="E15" s="2"/>
      <c r="F15" s="2"/>
      <c r="G15" s="2"/>
      <c r="H15" s="2"/>
      <c r="I15" s="2"/>
      <c r="J15" s="2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K15" s="19"/>
      <c r="AL15" s="19"/>
      <c r="AM15" s="19"/>
      <c r="AN15" s="19"/>
    </row>
    <row r="16" customHeight="1" spans="1:40">
      <c r="D16" s="2"/>
      <c r="E16" s="2"/>
      <c r="F16" s="2"/>
      <c r="G16" s="2"/>
      <c r="H16" s="2"/>
      <c r="I16" s="2"/>
      <c r="J16" s="2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K16" s="19"/>
      <c r="AL16" s="19"/>
      <c r="AM16" s="19"/>
      <c r="AN16" s="19"/>
    </row>
    <row r="17" customHeight="1" spans="4:40">
      <c r="D17" s="2"/>
      <c r="E17" s="2"/>
      <c r="F17" s="2"/>
      <c r="G17" s="2"/>
      <c r="H17" s="2"/>
      <c r="I17" s="2"/>
      <c r="J17" s="2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K17" s="19"/>
      <c r="AL17" s="19"/>
      <c r="AM17" s="19"/>
      <c r="AN17" s="19"/>
    </row>
    <row r="18" customHeight="1" spans="4:40">
      <c r="D18" s="2"/>
      <c r="E18" s="2"/>
      <c r="F18" s="2"/>
      <c r="G18" s="2"/>
      <c r="H18" s="2"/>
      <c r="I18" s="2"/>
      <c r="J18" s="2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K18" s="19"/>
      <c r="AL18" s="19"/>
      <c r="AM18" s="19"/>
      <c r="AN18" s="19"/>
    </row>
    <row r="19" customHeight="1" spans="4:40">
      <c r="D19" s="2"/>
      <c r="E19" s="2"/>
      <c r="F19" s="2"/>
      <c r="G19" s="2"/>
      <c r="H19" s="2"/>
      <c r="I19" s="2"/>
      <c r="J19" s="2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K19" s="19"/>
      <c r="AL19" s="19"/>
      <c r="AM19" s="19"/>
      <c r="AN19" s="19"/>
    </row>
    <row r="20" customHeight="1" spans="4:40">
      <c r="D20" s="2"/>
      <c r="E20" s="2"/>
      <c r="F20" s="2"/>
      <c r="G20" s="2"/>
      <c r="H20" s="2"/>
      <c r="I20" s="2"/>
      <c r="J20" s="2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K20" s="19"/>
      <c r="AL20" s="19"/>
      <c r="AM20" s="19"/>
      <c r="AN20" s="19"/>
    </row>
    <row r="21" customHeight="1" spans="4:40">
      <c r="D21" s="2"/>
      <c r="E21" s="2"/>
      <c r="F21" s="2"/>
      <c r="G21" s="2"/>
      <c r="H21" s="2"/>
      <c r="I21" s="2"/>
      <c r="J21" s="2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K21" s="19"/>
      <c r="AL21" s="19"/>
      <c r="AM21" s="19"/>
      <c r="AN21" s="19"/>
    </row>
    <row r="22" customHeight="1" spans="4:40">
      <c r="D22" s="2"/>
      <c r="E22" s="2"/>
      <c r="F22" s="2"/>
      <c r="G22" s="2"/>
      <c r="H22" s="2"/>
      <c r="I22" s="2"/>
      <c r="J22" s="2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K22" s="19"/>
      <c r="AL22" s="19"/>
      <c r="AM22" s="19"/>
      <c r="AN22" s="19"/>
    </row>
    <row r="23" customHeight="1" spans="4:40">
      <c r="D23" s="2"/>
      <c r="E23" s="2"/>
      <c r="F23" s="2"/>
      <c r="G23" s="2"/>
      <c r="H23" s="2"/>
      <c r="I23" s="2"/>
      <c r="J23" s="2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K23" s="19"/>
      <c r="AL23" s="19"/>
      <c r="AM23" s="19"/>
      <c r="AN23" s="19"/>
    </row>
    <row r="24" customHeight="1" spans="4:40">
      <c r="D24" s="2"/>
      <c r="E24" s="2"/>
      <c r="F24" s="2"/>
      <c r="G24" s="2"/>
      <c r="H24" s="2"/>
      <c r="I24" s="2"/>
      <c r="J24" s="2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K24" s="19"/>
      <c r="AL24" s="19"/>
      <c r="AM24" s="19"/>
      <c r="AN24" s="19"/>
    </row>
    <row r="25" customHeight="1" spans="4:40">
      <c r="D25" s="2"/>
      <c r="E25" s="2"/>
      <c r="F25" s="2"/>
      <c r="G25" s="2"/>
      <c r="H25" s="2"/>
      <c r="I25" s="2"/>
      <c r="J25" s="2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K25" s="19"/>
      <c r="AL25" s="19"/>
      <c r="AM25" s="19"/>
      <c r="AN25" s="19"/>
    </row>
    <row r="26" customHeight="1" spans="4:40"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K26" s="19"/>
      <c r="AL26" s="19"/>
      <c r="AM26" s="19"/>
      <c r="AN26" s="19"/>
    </row>
    <row r="27" customHeight="1" spans="4:40"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K27" s="19"/>
      <c r="AL27" s="19"/>
      <c r="AM27" s="19"/>
      <c r="AN27" s="19"/>
    </row>
    <row r="28" customHeight="1" spans="4:40"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K28" s="19"/>
      <c r="AL28" s="19"/>
      <c r="AM28" s="19"/>
      <c r="AN28" s="19"/>
    </row>
    <row r="29" customHeight="1" spans="4:40"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K29" s="19"/>
      <c r="AL29" s="19"/>
      <c r="AM29" s="19"/>
      <c r="AN29" s="19"/>
    </row>
    <row r="30" customHeight="1" spans="4:40"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K30" s="19"/>
      <c r="AL30" s="19"/>
      <c r="AM30" s="19"/>
      <c r="AN30" s="19"/>
    </row>
    <row r="31" customHeight="1" spans="4:40"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K31" s="19"/>
      <c r="AL31" s="19"/>
      <c r="AM31" s="19"/>
      <c r="AN31" s="19"/>
    </row>
    <row r="32" customHeight="1" spans="4:40"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K32" s="19"/>
      <c r="AL32" s="19"/>
      <c r="AM32" s="19"/>
      <c r="AN32" s="19"/>
    </row>
    <row r="33" customHeight="1" spans="21:40"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K33" s="19"/>
      <c r="AL33" s="19"/>
      <c r="AM33" s="19"/>
      <c r="AN33" s="19"/>
    </row>
    <row r="34" customHeight="1" spans="21:40"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K34" s="19"/>
      <c r="AL34" s="19"/>
      <c r="AM34" s="19"/>
      <c r="AN34" s="19"/>
    </row>
    <row r="35" customHeight="1" spans="21:40"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K35" s="19"/>
      <c r="AL35" s="19"/>
      <c r="AM35" s="19"/>
      <c r="AN35" s="19"/>
    </row>
    <row r="36" customHeight="1" spans="21:40"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K36" s="19"/>
      <c r="AL36" s="19"/>
      <c r="AM36" s="19"/>
      <c r="AN36" s="19"/>
    </row>
    <row r="37" customHeight="1" spans="21:40"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K37" s="19"/>
      <c r="AL37" s="19"/>
      <c r="AM37" s="19"/>
      <c r="AN37" s="19"/>
    </row>
    <row r="38" customHeight="1" spans="21:40"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K38" s="19"/>
      <c r="AL38" s="19"/>
      <c r="AM38" s="19"/>
      <c r="AN38" s="19"/>
    </row>
    <row r="39" customHeight="1" spans="21:40"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K39" s="19"/>
      <c r="AL39" s="19"/>
      <c r="AM39" s="19"/>
      <c r="AN39" s="19"/>
    </row>
    <row r="40" customHeight="1" spans="21:40"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K40" s="19"/>
      <c r="AL40" s="19"/>
      <c r="AM40" s="19"/>
      <c r="AN40" s="19"/>
    </row>
    <row r="41" customHeight="1" spans="21:40"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K41" s="19"/>
      <c r="AL41" s="19"/>
      <c r="AM41" s="19"/>
      <c r="AN41" s="19"/>
    </row>
    <row r="42" customHeight="1" spans="21:40"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K42" s="19"/>
      <c r="AL42" s="19"/>
      <c r="AM42" s="19"/>
      <c r="AN42" s="19"/>
    </row>
    <row r="43" customHeight="1" spans="21:40"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K43" s="19"/>
      <c r="AL43" s="19"/>
      <c r="AM43" s="19"/>
      <c r="AN43" s="19"/>
    </row>
    <row r="44" customHeight="1" spans="21:40"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K44" s="19"/>
      <c r="AL44" s="19"/>
      <c r="AM44" s="19"/>
      <c r="AN44" s="19"/>
    </row>
    <row r="45" customHeight="1" spans="21:40"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K45" s="19"/>
      <c r="AL45" s="19"/>
      <c r="AM45" s="19"/>
      <c r="AN45" s="19"/>
    </row>
    <row r="46" customHeight="1" spans="21:40"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K46" s="19"/>
      <c r="AL46" s="19"/>
      <c r="AM46" s="19"/>
      <c r="AN46" s="19"/>
    </row>
    <row r="47" customHeight="1" spans="21:40"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K47" s="19"/>
      <c r="AL47" s="19"/>
      <c r="AM47" s="19"/>
      <c r="AN47" s="19"/>
    </row>
    <row r="48" customHeight="1" spans="21:40"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K48" s="19"/>
      <c r="AL48" s="19"/>
      <c r="AM48" s="19"/>
      <c r="AN48" s="19"/>
    </row>
    <row r="49" customHeight="1" spans="21:40"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K49" s="19"/>
      <c r="AL49" s="19"/>
      <c r="AM49" s="19"/>
      <c r="AN49" s="19"/>
    </row>
    <row r="50" customHeight="1" spans="21:40"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K50" s="19"/>
      <c r="AL50" s="19"/>
      <c r="AM50" s="19"/>
      <c r="AN50" s="19"/>
    </row>
    <row r="51" customHeight="1" spans="21:40"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K51" s="19"/>
      <c r="AL51" s="19"/>
      <c r="AM51" s="19"/>
      <c r="AN51" s="19"/>
    </row>
    <row r="52" customHeight="1" spans="21:40"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K52" s="19"/>
      <c r="AL52" s="19"/>
      <c r="AM52" s="19"/>
      <c r="AN52" s="19"/>
    </row>
    <row r="53" customHeight="1" spans="21:40"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K53" s="19"/>
      <c r="AL53" s="19"/>
      <c r="AM53" s="19"/>
      <c r="AN53" s="19"/>
    </row>
    <row r="54" customHeight="1" spans="21:40"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K54" s="19"/>
      <c r="AL54" s="19"/>
      <c r="AM54" s="19"/>
      <c r="AN54" s="19"/>
    </row>
    <row r="55" customHeight="1" spans="21:40"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K55" s="19"/>
      <c r="AL55" s="19"/>
      <c r="AM55" s="19"/>
      <c r="AN55" s="19"/>
    </row>
    <row r="56" customHeight="1" spans="21:40"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K56" s="19"/>
      <c r="AL56" s="19"/>
      <c r="AM56" s="19"/>
      <c r="AN56" s="19"/>
    </row>
    <row r="57" customHeight="1" spans="21:40"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K57" s="19"/>
      <c r="AL57" s="19"/>
      <c r="AM57" s="19"/>
      <c r="AN57" s="19"/>
    </row>
    <row r="58" customHeight="1" spans="21:40"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K58" s="19"/>
      <c r="AL58" s="19"/>
      <c r="AM58" s="19"/>
      <c r="AN58" s="19"/>
    </row>
    <row r="59" customHeight="1" spans="21:40"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K59" s="19"/>
      <c r="AL59" s="19"/>
      <c r="AM59" s="19"/>
      <c r="AN59" s="19"/>
    </row>
    <row r="60" customHeight="1" spans="21:40"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K60" s="19"/>
      <c r="AL60" s="19"/>
      <c r="AM60" s="19"/>
      <c r="AN60" s="19"/>
    </row>
    <row r="61" customHeight="1" spans="21:40"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K61" s="19"/>
      <c r="AL61" s="19"/>
      <c r="AM61" s="19"/>
      <c r="AN61" s="19"/>
    </row>
    <row r="62" customHeight="1" spans="21:40"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K62" s="19"/>
      <c r="AL62" s="19"/>
      <c r="AM62" s="19"/>
      <c r="AN62" s="19"/>
    </row>
    <row r="63" customHeight="1" spans="21:40"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K63" s="19"/>
      <c r="AL63" s="19"/>
      <c r="AM63" s="19"/>
      <c r="AN63" s="19"/>
    </row>
    <row r="64" customHeight="1" spans="21:40"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K64" s="19"/>
      <c r="AL64" s="19"/>
      <c r="AM64" s="19"/>
      <c r="AN64" s="19"/>
    </row>
    <row r="65" customHeight="1" spans="21:40"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K65" s="19"/>
      <c r="AL65" s="19"/>
      <c r="AM65" s="19"/>
      <c r="AN65" s="19"/>
    </row>
    <row r="66" customHeight="1" spans="21:40"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K66" s="19"/>
      <c r="AL66" s="19"/>
      <c r="AM66" s="19"/>
      <c r="AN66" s="19"/>
    </row>
    <row r="67" customHeight="1" spans="21:40"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K67" s="19"/>
      <c r="AL67" s="19"/>
      <c r="AM67" s="19"/>
      <c r="AN67" s="19"/>
    </row>
    <row r="68" customHeight="1" spans="21:40"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K68" s="19"/>
      <c r="AL68" s="19"/>
      <c r="AM68" s="19"/>
      <c r="AN68" s="19"/>
    </row>
    <row r="69" customHeight="1" spans="21:40"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K69" s="19"/>
      <c r="AL69" s="19"/>
      <c r="AM69" s="19"/>
      <c r="AN69" s="19"/>
    </row>
    <row r="70" customHeight="1" spans="21:40"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K70" s="19"/>
      <c r="AL70" s="19"/>
      <c r="AM70" s="19"/>
      <c r="AN70" s="19"/>
    </row>
    <row r="71" customHeight="1" spans="21:40"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K71" s="19"/>
      <c r="AL71" s="19"/>
      <c r="AM71" s="19"/>
      <c r="AN71" s="19"/>
    </row>
    <row r="72" customHeight="1" spans="21:40"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K72" s="19"/>
      <c r="AL72" s="19"/>
      <c r="AM72" s="19"/>
      <c r="AN72" s="19"/>
    </row>
    <row r="73" customHeight="1" spans="21:40"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K73" s="19"/>
      <c r="AL73" s="19"/>
      <c r="AM73" s="19"/>
      <c r="AN73" s="19"/>
    </row>
    <row r="74" customHeight="1" spans="21:40"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K74" s="19"/>
      <c r="AL74" s="19"/>
      <c r="AM74" s="19"/>
      <c r="AN74" s="19"/>
    </row>
    <row r="75" customHeight="1" spans="21:40"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K75" s="19"/>
      <c r="AL75" s="19"/>
      <c r="AM75" s="19"/>
      <c r="AN75" s="19"/>
    </row>
    <row r="76" customHeight="1" spans="21:40"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K76" s="19"/>
      <c r="AL76" s="19"/>
      <c r="AM76" s="19"/>
      <c r="AN76" s="19"/>
    </row>
    <row r="77" customHeight="1" spans="21:40"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K77" s="19"/>
      <c r="AL77" s="19"/>
      <c r="AM77" s="19"/>
      <c r="AN77" s="19"/>
    </row>
    <row r="78" customHeight="1" spans="21:40"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K78" s="19"/>
      <c r="AL78" s="19"/>
      <c r="AM78" s="19"/>
      <c r="AN78" s="19"/>
    </row>
    <row r="79" customHeight="1" spans="21:40"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K79" s="19"/>
      <c r="AL79" s="19"/>
      <c r="AM79" s="19"/>
      <c r="AN79" s="19"/>
    </row>
    <row r="80" customHeight="1" spans="21:40"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K80" s="19"/>
      <c r="AL80" s="19"/>
      <c r="AM80" s="19"/>
      <c r="AN80" s="19"/>
    </row>
    <row r="81" customHeight="1" spans="21:40"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K81" s="19"/>
      <c r="AL81" s="19"/>
      <c r="AM81" s="19"/>
      <c r="AN81" s="19"/>
    </row>
    <row r="82" customHeight="1" spans="21:40"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K82" s="19"/>
      <c r="AL82" s="19"/>
      <c r="AM82" s="19"/>
      <c r="AN82" s="19"/>
    </row>
    <row r="83" customHeight="1" spans="21:40"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K83" s="19"/>
      <c r="AL83" s="19"/>
      <c r="AM83" s="19"/>
      <c r="AN83" s="19"/>
    </row>
    <row r="84" customHeight="1" spans="21:40"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K84" s="19"/>
      <c r="AL84" s="19"/>
      <c r="AM84" s="19"/>
      <c r="AN84" s="19"/>
    </row>
    <row r="85" customHeight="1" spans="21:40"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K85" s="19"/>
      <c r="AL85" s="19"/>
      <c r="AM85" s="19"/>
      <c r="AN85" s="19"/>
    </row>
    <row r="86" customHeight="1" spans="21:40"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K86" s="19"/>
      <c r="AL86" s="19"/>
      <c r="AM86" s="19"/>
      <c r="AN86" s="19"/>
    </row>
    <row r="87" customHeight="1" spans="21:40"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K87" s="19"/>
      <c r="AL87" s="19"/>
      <c r="AM87" s="19"/>
      <c r="AN87" s="19"/>
    </row>
    <row r="88" customHeight="1" spans="21:40"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K88" s="19"/>
      <c r="AL88" s="19"/>
      <c r="AM88" s="19"/>
      <c r="AN88" s="19"/>
    </row>
    <row r="89" customHeight="1" spans="21:40"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K89" s="19"/>
      <c r="AL89" s="19"/>
      <c r="AM89" s="19"/>
      <c r="AN89" s="19"/>
    </row>
    <row r="90" customHeight="1" spans="21:40"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K90" s="19"/>
      <c r="AL90" s="19"/>
      <c r="AM90" s="19"/>
      <c r="AN90" s="19"/>
    </row>
    <row r="91" customHeight="1" spans="21:40"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K91" s="19"/>
      <c r="AL91" s="19"/>
      <c r="AM91" s="19"/>
      <c r="AN91" s="19"/>
    </row>
    <row r="92" customHeight="1" spans="21:40"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K92" s="19"/>
      <c r="AL92" s="19"/>
      <c r="AM92" s="19"/>
      <c r="AN92" s="19"/>
    </row>
    <row r="93" customHeight="1" spans="21:40"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K93" s="19"/>
      <c r="AL93" s="19"/>
      <c r="AM93" s="19"/>
      <c r="AN93" s="19"/>
    </row>
    <row r="94" customHeight="1" spans="21:40"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K94" s="19"/>
      <c r="AL94" s="19"/>
      <c r="AM94" s="19"/>
      <c r="AN94" s="19"/>
    </row>
    <row r="95" customHeight="1" spans="21:40"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K95" s="19"/>
      <c r="AL95" s="19"/>
      <c r="AM95" s="19"/>
      <c r="AN95" s="19"/>
    </row>
    <row r="96" customHeight="1" spans="21:40"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K96" s="19"/>
      <c r="AL96" s="19"/>
      <c r="AM96" s="19"/>
      <c r="AN96" s="19"/>
    </row>
    <row r="97" customHeight="1" spans="21:40"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K97" s="19"/>
      <c r="AL97" s="19"/>
      <c r="AM97" s="19"/>
      <c r="AN97" s="19"/>
    </row>
    <row r="98" customHeight="1" spans="21:40"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K98" s="19"/>
      <c r="AL98" s="19"/>
      <c r="AM98" s="19"/>
      <c r="AN98" s="19"/>
    </row>
    <row r="99" customHeight="1" spans="21:40"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K99" s="19"/>
      <c r="AL99" s="19"/>
      <c r="AM99" s="19"/>
      <c r="AN99" s="19"/>
    </row>
    <row r="100" customHeight="1" spans="21:40"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K100" s="19"/>
      <c r="AL100" s="19"/>
      <c r="AM100" s="19"/>
      <c r="AN100" s="19"/>
    </row>
    <row r="101" customHeight="1" spans="21:40"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K101" s="19"/>
      <c r="AL101" s="19"/>
      <c r="AM101" s="19"/>
      <c r="AN101" s="19"/>
    </row>
    <row r="102" customHeight="1" spans="21:40"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K102" s="19"/>
      <c r="AL102" s="19"/>
      <c r="AM102" s="19"/>
      <c r="AN102" s="19"/>
    </row>
    <row r="103" customHeight="1" spans="21:40"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K103" s="19"/>
      <c r="AL103" s="19"/>
      <c r="AM103" s="19"/>
      <c r="AN103" s="19"/>
    </row>
    <row r="104" customHeight="1" spans="21:40"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K104" s="19"/>
      <c r="AL104" s="19"/>
      <c r="AM104" s="19"/>
      <c r="AN104" s="19"/>
    </row>
    <row r="105" customHeight="1" spans="21:40"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K105" s="19"/>
      <c r="AL105" s="19"/>
      <c r="AM105" s="19"/>
      <c r="AN105" s="19"/>
    </row>
    <row r="106" customHeight="1" spans="21:40"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K106" s="19"/>
      <c r="AL106" s="19"/>
      <c r="AM106" s="19"/>
      <c r="AN106" s="19"/>
    </row>
    <row r="107" customHeight="1" spans="21:40"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K107" s="19"/>
      <c r="AL107" s="19"/>
      <c r="AM107" s="19"/>
      <c r="AN107" s="19"/>
    </row>
    <row r="108" customHeight="1" spans="21:40"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K108" s="19"/>
      <c r="AL108" s="19"/>
      <c r="AM108" s="19"/>
      <c r="AN108" s="19"/>
    </row>
    <row r="109" customHeight="1" spans="21:40"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K109" s="19"/>
      <c r="AL109" s="19"/>
      <c r="AM109" s="19"/>
      <c r="AN109" s="19"/>
    </row>
    <row r="110" customHeight="1" spans="21:40"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K110" s="19"/>
      <c r="AL110" s="19"/>
      <c r="AM110" s="19"/>
      <c r="AN110" s="19"/>
    </row>
    <row r="111" customHeight="1" spans="21:40"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K111" s="19"/>
      <c r="AL111" s="19"/>
      <c r="AM111" s="19"/>
      <c r="AN111" s="19"/>
    </row>
    <row r="112" customHeight="1" spans="21:40"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K112" s="19"/>
      <c r="AL112" s="19"/>
      <c r="AM112" s="19"/>
      <c r="AN112" s="19"/>
    </row>
    <row r="113" customHeight="1" spans="21:40"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K113" s="19"/>
      <c r="AL113" s="19"/>
      <c r="AM113" s="19"/>
      <c r="AN113" s="19"/>
    </row>
    <row r="114" customHeight="1" spans="21:40"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K114" s="19"/>
      <c r="AL114" s="19"/>
      <c r="AM114" s="19"/>
      <c r="AN114" s="19"/>
    </row>
    <row r="115" customHeight="1" spans="21:40"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K115" s="19"/>
      <c r="AL115" s="19"/>
      <c r="AM115" s="19"/>
      <c r="AN115" s="19"/>
    </row>
    <row r="116" customHeight="1" spans="21:40"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K116" s="19"/>
      <c r="AL116" s="19"/>
      <c r="AM116" s="19"/>
      <c r="AN116" s="19"/>
    </row>
    <row r="117" customHeight="1" spans="21:40"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K117" s="19"/>
      <c r="AL117" s="19"/>
      <c r="AM117" s="19"/>
      <c r="AN117" s="19"/>
    </row>
    <row r="118" customHeight="1" spans="21:40"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K118" s="19"/>
      <c r="AL118" s="19"/>
      <c r="AM118" s="19"/>
      <c r="AN118" s="19"/>
    </row>
    <row r="119" customHeight="1" spans="21:40"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K119" s="19"/>
      <c r="AL119" s="19"/>
      <c r="AM119" s="19"/>
      <c r="AN119" s="19"/>
    </row>
    <row r="120" customHeight="1" spans="21:40"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K120" s="19"/>
      <c r="AL120" s="19"/>
      <c r="AM120" s="19"/>
      <c r="AN120" s="19"/>
    </row>
    <row r="121" customHeight="1" spans="21:40"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K121" s="19"/>
      <c r="AL121" s="19"/>
      <c r="AM121" s="19"/>
      <c r="AN121" s="19"/>
    </row>
    <row r="122" customHeight="1" spans="21:40"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K122" s="19"/>
      <c r="AL122" s="19"/>
      <c r="AM122" s="19"/>
      <c r="AN122" s="19"/>
    </row>
    <row r="123" customHeight="1" spans="21:40"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K123" s="19"/>
      <c r="AL123" s="19"/>
      <c r="AM123" s="19"/>
      <c r="AN123" s="19"/>
    </row>
    <row r="124" customHeight="1" spans="21:40"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K124" s="19"/>
      <c r="AL124" s="19"/>
      <c r="AM124" s="19"/>
      <c r="AN124" s="19"/>
    </row>
    <row r="125" customHeight="1" spans="21:40"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K125" s="19"/>
      <c r="AL125" s="19"/>
      <c r="AM125" s="19"/>
      <c r="AN125" s="19"/>
    </row>
    <row r="126" customHeight="1" spans="21:40"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K126" s="19"/>
      <c r="AL126" s="19"/>
      <c r="AM126" s="19"/>
      <c r="AN126" s="19"/>
    </row>
    <row r="127" customHeight="1" spans="21:40"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K127" s="19"/>
      <c r="AL127" s="19"/>
      <c r="AM127" s="19"/>
      <c r="AN127" s="19"/>
    </row>
    <row r="128" customHeight="1" spans="21:40"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K128" s="19"/>
      <c r="AL128" s="19"/>
      <c r="AM128" s="19"/>
      <c r="AN128" s="19"/>
    </row>
    <row r="129" customHeight="1" spans="21:40"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K129" s="19"/>
      <c r="AL129" s="19"/>
      <c r="AM129" s="19"/>
      <c r="AN129" s="19"/>
    </row>
    <row r="130" customHeight="1" spans="21:40"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K130" s="19"/>
      <c r="AL130" s="19"/>
      <c r="AM130" s="19"/>
      <c r="AN130" s="19"/>
    </row>
    <row r="131" customHeight="1" spans="21:40"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K131" s="19"/>
      <c r="AL131" s="19"/>
      <c r="AM131" s="19"/>
      <c r="AN131" s="19"/>
    </row>
    <row r="132" customHeight="1" spans="21:40"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K132" s="19"/>
      <c r="AL132" s="19"/>
      <c r="AM132" s="19"/>
      <c r="AN132" s="19"/>
    </row>
    <row r="133" customHeight="1" spans="21:40"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K133" s="19"/>
      <c r="AL133" s="19"/>
      <c r="AM133" s="19"/>
      <c r="AN133" s="19"/>
    </row>
    <row r="134" customHeight="1" spans="21:40"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K134" s="19"/>
      <c r="AL134" s="19"/>
      <c r="AM134" s="19"/>
      <c r="AN134" s="19"/>
    </row>
    <row r="135" customHeight="1" spans="21:40"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K135" s="19"/>
      <c r="AL135" s="19"/>
      <c r="AM135" s="19"/>
      <c r="AN135" s="19"/>
    </row>
    <row r="136" customHeight="1" spans="21:40"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K136" s="19"/>
      <c r="AL136" s="19"/>
      <c r="AM136" s="19"/>
      <c r="AN136" s="19"/>
    </row>
    <row r="137" customHeight="1" spans="21:40"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K137" s="19"/>
      <c r="AL137" s="19"/>
      <c r="AM137" s="19"/>
      <c r="AN137" s="19"/>
    </row>
    <row r="138" customHeight="1" spans="21:40"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K138" s="19"/>
      <c r="AL138" s="19"/>
      <c r="AM138" s="19"/>
      <c r="AN138" s="19"/>
    </row>
    <row r="139" customHeight="1" spans="21:40"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K139" s="19"/>
      <c r="AL139" s="19"/>
      <c r="AM139" s="19"/>
      <c r="AN139" s="19"/>
    </row>
    <row r="140" customHeight="1" spans="21:40"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K140" s="19"/>
      <c r="AL140" s="19"/>
      <c r="AM140" s="19"/>
      <c r="AN140" s="19"/>
    </row>
    <row r="141" customHeight="1" spans="21:40"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K141" s="19"/>
      <c r="AL141" s="19"/>
      <c r="AM141" s="19"/>
      <c r="AN141" s="19"/>
    </row>
    <row r="142" customHeight="1" spans="21:40"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K142" s="19"/>
      <c r="AL142" s="19"/>
      <c r="AM142" s="19"/>
      <c r="AN142" s="19"/>
    </row>
    <row r="143" customHeight="1" spans="21:40"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K143" s="19"/>
      <c r="AL143" s="19"/>
      <c r="AM143" s="19"/>
      <c r="AN143" s="19"/>
    </row>
    <row r="144" customHeight="1" spans="21:40"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K144" s="19"/>
      <c r="AL144" s="19"/>
      <c r="AM144" s="19"/>
      <c r="AN144" s="19"/>
    </row>
    <row r="145" customHeight="1" spans="21:40"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K145" s="19"/>
      <c r="AL145" s="19"/>
      <c r="AM145" s="19"/>
      <c r="AN145" s="19"/>
    </row>
    <row r="146" customHeight="1" spans="21:40"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K146" s="19"/>
      <c r="AL146" s="19"/>
      <c r="AM146" s="19"/>
      <c r="AN146" s="19"/>
    </row>
    <row r="147" customHeight="1" spans="21:40"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K147" s="19"/>
      <c r="AL147" s="19"/>
      <c r="AM147" s="19"/>
      <c r="AN147" s="19"/>
    </row>
    <row r="148" customHeight="1" spans="21:40"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K148" s="19"/>
      <c r="AL148" s="19"/>
      <c r="AM148" s="19"/>
      <c r="AN148" s="19"/>
    </row>
    <row r="149" customHeight="1" spans="21:40"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K149" s="19"/>
      <c r="AL149" s="19"/>
      <c r="AM149" s="19"/>
      <c r="AN149" s="19"/>
    </row>
    <row r="150" customHeight="1" spans="21:40"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K150" s="19"/>
      <c r="AL150" s="19"/>
      <c r="AM150" s="19"/>
      <c r="AN150" s="19"/>
    </row>
    <row r="151" customHeight="1" spans="21:40"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K151" s="19"/>
      <c r="AL151" s="19"/>
      <c r="AM151" s="19"/>
      <c r="AN151" s="19"/>
    </row>
    <row r="152" customHeight="1" spans="21:40"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K152" s="19"/>
      <c r="AL152" s="19"/>
      <c r="AM152" s="19"/>
      <c r="AN152" s="19"/>
    </row>
    <row r="153" customHeight="1" spans="21:40"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K153" s="19"/>
      <c r="AL153" s="19"/>
      <c r="AM153" s="19"/>
      <c r="AN153" s="19"/>
    </row>
    <row r="154" customHeight="1" spans="21:40"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K154" s="19"/>
      <c r="AL154" s="19"/>
      <c r="AM154" s="19"/>
      <c r="AN154" s="19"/>
    </row>
    <row r="155" customHeight="1" spans="21:40"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K155" s="19"/>
      <c r="AL155" s="19"/>
      <c r="AM155" s="19"/>
      <c r="AN155" s="19"/>
    </row>
    <row r="156" customHeight="1" spans="21:40"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K156" s="19"/>
      <c r="AL156" s="19"/>
      <c r="AM156" s="19"/>
      <c r="AN156" s="19"/>
    </row>
    <row r="157" customHeight="1" spans="21:40"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K157" s="19"/>
      <c r="AL157" s="19"/>
      <c r="AM157" s="19"/>
      <c r="AN157" s="19"/>
    </row>
    <row r="158" customHeight="1" spans="21:40"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K158" s="19"/>
      <c r="AL158" s="19"/>
      <c r="AM158" s="19"/>
      <c r="AN158" s="19"/>
    </row>
    <row r="159" customHeight="1" spans="21:40"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K159" s="19"/>
      <c r="AL159" s="19"/>
      <c r="AM159" s="19"/>
      <c r="AN159" s="19"/>
    </row>
    <row r="160" customHeight="1" spans="21:40"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K160" s="19"/>
      <c r="AL160" s="19"/>
      <c r="AM160" s="19"/>
      <c r="AN160" s="19"/>
    </row>
    <row r="161" customHeight="1" spans="21:40"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K161" s="19"/>
      <c r="AL161" s="19"/>
      <c r="AM161" s="19"/>
      <c r="AN161" s="19"/>
    </row>
    <row r="162" customHeight="1" spans="21:40"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K162" s="19"/>
      <c r="AL162" s="19"/>
      <c r="AM162" s="19"/>
      <c r="AN162" s="19"/>
    </row>
    <row r="163" customHeight="1" spans="21:40"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K163" s="19"/>
      <c r="AL163" s="19"/>
      <c r="AM163" s="19"/>
      <c r="AN163" s="19"/>
    </row>
    <row r="164" customHeight="1" spans="21:40"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K164" s="19"/>
      <c r="AL164" s="19"/>
      <c r="AM164" s="19"/>
      <c r="AN164" s="19"/>
    </row>
    <row r="165" customHeight="1" spans="21:40"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</row>
    <row r="166" customHeight="1" spans="21:40"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</row>
    <row r="167" customHeight="1" spans="21:40"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</row>
    <row r="168" customHeight="1" spans="21:40"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</row>
    <row r="169" customHeight="1" spans="21:40"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</row>
    <row r="170" customHeight="1" spans="21:40"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</row>
    <row r="171" customHeight="1" spans="21:40"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</row>
    <row r="172" customHeight="1" spans="21:40"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</row>
    <row r="173" customHeight="1" spans="21:40"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</row>
    <row r="174" customHeight="1" spans="21:40"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</row>
    <row r="175" customHeight="1" spans="21:40"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</row>
    <row r="176" customHeight="1" spans="21:40"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</row>
    <row r="177" customHeight="1" spans="21:35"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</row>
    <row r="178" customHeight="1" spans="21:35"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</row>
    <row r="179" customHeight="1" spans="21:35"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</row>
    <row r="180" customHeight="1" spans="21:35"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</row>
    <row r="181" customHeight="1" spans="21:35"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</row>
    <row r="182" customHeight="1" spans="21:35"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</row>
    <row r="183" customHeight="1" spans="21:35"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</row>
    <row r="184" customHeight="1" spans="21:35"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</row>
    <row r="185" customHeight="1" spans="21:35"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</row>
    <row r="186" customHeight="1" spans="21:35"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</row>
    <row r="187" customHeight="1" spans="21:35"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</row>
    <row r="188" customHeight="1" spans="21:35"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</row>
    <row r="189" customHeight="1" spans="21:35"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</row>
    <row r="190" customHeight="1" spans="21:35"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</row>
    <row r="191" customHeight="1" spans="21:35"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</row>
    <row r="192" customHeight="1" spans="21:35"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</row>
    <row r="193" customHeight="1" spans="21:35"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</row>
    <row r="194" customHeight="1" spans="21:35"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</row>
    <row r="195" customHeight="1" spans="21:35"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</row>
    <row r="196" customHeight="1" spans="21:35"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</row>
    <row r="197" customHeight="1" spans="21:35"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</row>
    <row r="198" customHeight="1" spans="21:35"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</row>
    <row r="199" customHeight="1" spans="21:35"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</row>
    <row r="200" customHeight="1" spans="21:35"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</row>
  </sheetData>
  <mergeCells count="9">
    <mergeCell ref="D1:F1"/>
    <mergeCell ref="H1:J1"/>
    <mergeCell ref="D2:F2"/>
    <mergeCell ref="G2:I2"/>
    <mergeCell ref="A2:A3"/>
    <mergeCell ref="B2:B3"/>
    <mergeCell ref="C2:C3"/>
    <mergeCell ref="J2:J3"/>
    <mergeCell ref="K2:K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00"/>
  <sheetViews>
    <sheetView workbookViewId="0">
      <selection activeCell="A1" sqref="A1"/>
    </sheetView>
  </sheetViews>
  <sheetFormatPr defaultColWidth="9" defaultRowHeight="13.5" customHeight="1"/>
  <cols>
    <col min="1" max="1" width="9.16153846153846" style="1"/>
    <col min="2" max="2" width="15.5" style="2" customWidth="1"/>
    <col min="3" max="3" width="12.1615384615385" style="1"/>
    <col min="4" max="4" width="7.66153846153846" style="1" customWidth="1"/>
    <col min="10" max="10" width="12.1615384615385" style="1"/>
    <col min="11" max="11" width="10.1692307692308" style="1"/>
    <col min="12" max="12" width="14.6692307692308" style="1" customWidth="1"/>
  </cols>
  <sheetData>
    <row r="1" ht="15.75" customHeight="1" spans="1:40">
      <c r="A1" s="3" t="s">
        <v>68</v>
      </c>
      <c r="B1" s="3" t="s">
        <v>69</v>
      </c>
      <c r="C1" s="4" t="s">
        <v>88</v>
      </c>
      <c r="D1" s="5">
        <v>36</v>
      </c>
      <c r="E1" s="6" t="s">
        <v>92</v>
      </c>
      <c r="F1" s="7" t="s">
        <v>72</v>
      </c>
      <c r="G1" s="8"/>
      <c r="H1" s="9" t="s">
        <v>112</v>
      </c>
      <c r="I1" s="10"/>
      <c r="J1" s="10"/>
      <c r="K1" s="10"/>
      <c r="L1" s="10"/>
      <c r="N1" s="11"/>
      <c r="O1" s="11"/>
      <c r="P1" s="11"/>
    </row>
    <row r="2" ht="15.75" customHeight="1" spans="1:40">
      <c r="A2" s="12" t="s">
        <v>75</v>
      </c>
      <c r="B2" s="12" t="s">
        <v>87</v>
      </c>
      <c r="C2" s="13" t="s">
        <v>78</v>
      </c>
      <c r="D2" s="12" t="s">
        <v>95</v>
      </c>
      <c r="E2" s="14"/>
      <c r="F2" s="14"/>
      <c r="G2" s="15" t="s">
        <v>96</v>
      </c>
      <c r="H2" s="14"/>
      <c r="I2" s="14"/>
      <c r="J2" s="13" t="s">
        <v>81</v>
      </c>
      <c r="K2" s="14" t="s">
        <v>90</v>
      </c>
      <c r="L2" s="14" t="s">
        <v>113</v>
      </c>
      <c r="M2" s="5" t="s">
        <v>114</v>
      </c>
    </row>
    <row r="3" ht="15.75" customHeight="1" spans="1:40">
      <c r="A3" s="16"/>
      <c r="B3" s="16"/>
      <c r="C3" s="16"/>
      <c r="D3" s="12" t="s">
        <v>99</v>
      </c>
      <c r="E3" s="12" t="s">
        <v>100</v>
      </c>
      <c r="F3" s="12" t="s">
        <v>101</v>
      </c>
      <c r="G3" s="3" t="s">
        <v>99</v>
      </c>
      <c r="H3" s="3" t="s">
        <v>100</v>
      </c>
      <c r="I3" s="3" t="s">
        <v>101</v>
      </c>
      <c r="J3" s="17"/>
      <c r="K3" s="10"/>
      <c r="L3" s="10"/>
      <c r="M3" s="10"/>
    </row>
    <row r="4" customHeight="1" spans="1:40">
      <c r="A4" s="18">
        <v>50</v>
      </c>
      <c r="B4" s="2">
        <v>19.5</v>
      </c>
      <c r="C4" s="18"/>
      <c r="D4" s="18">
        <v>28</v>
      </c>
      <c r="E4" s="18">
        <v>29</v>
      </c>
      <c r="F4" s="18">
        <v>26</v>
      </c>
      <c r="G4" s="18">
        <v>93</v>
      </c>
      <c r="H4" s="18">
        <v>95</v>
      </c>
      <c r="I4" s="18">
        <v>80</v>
      </c>
      <c r="M4" s="18" t="s">
        <v>115</v>
      </c>
      <c r="N4" s="1" t="s">
        <v>116</v>
      </c>
      <c r="O4" s="1" t="s">
        <v>117</v>
      </c>
    </row>
    <row r="5" customHeight="1" spans="1:40">
      <c r="A5" s="18">
        <v>57.5</v>
      </c>
      <c r="B5" s="18">
        <v>22.5</v>
      </c>
      <c r="C5" s="18"/>
      <c r="D5" s="18">
        <v>20</v>
      </c>
      <c r="E5" s="18">
        <v>21</v>
      </c>
      <c r="F5" s="18">
        <v>18</v>
      </c>
      <c r="G5" s="18">
        <v>97</v>
      </c>
      <c r="H5" s="18">
        <v>97</v>
      </c>
      <c r="I5" s="18">
        <v>77.8</v>
      </c>
      <c r="J5" s="18"/>
      <c r="K5" s="18"/>
      <c r="L5" s="18"/>
      <c r="M5" s="18" t="s">
        <v>118</v>
      </c>
      <c r="N5" s="18" t="s">
        <v>105</v>
      </c>
    </row>
    <row r="6" customHeight="1" spans="1:40">
      <c r="A6" s="18">
        <v>60</v>
      </c>
      <c r="B6" s="18">
        <v>24</v>
      </c>
      <c r="C6" s="18"/>
      <c r="D6" s="18">
        <v>22</v>
      </c>
      <c r="E6" s="18">
        <v>28</v>
      </c>
      <c r="F6" s="18">
        <v>22.4</v>
      </c>
      <c r="G6" s="18">
        <v>92</v>
      </c>
      <c r="H6" s="18">
        <v>97</v>
      </c>
      <c r="I6" s="18">
        <v>74.6</v>
      </c>
      <c r="J6" s="18"/>
      <c r="K6" s="18"/>
      <c r="L6" s="18"/>
      <c r="M6" s="18" t="s">
        <v>119</v>
      </c>
      <c r="N6" s="18" t="s">
        <v>105</v>
      </c>
    </row>
    <row r="7" customHeight="1" spans="1:40">
      <c r="A7" s="18">
        <v>62</v>
      </c>
      <c r="B7" s="18">
        <v>24.5</v>
      </c>
      <c r="C7" s="18"/>
      <c r="D7" s="18">
        <v>24</v>
      </c>
      <c r="E7" s="18">
        <v>28</v>
      </c>
      <c r="F7" s="18">
        <v>22.3</v>
      </c>
      <c r="G7" s="18">
        <v>99</v>
      </c>
      <c r="H7" s="18">
        <v>97</v>
      </c>
      <c r="I7" s="18">
        <v>76.5</v>
      </c>
      <c r="J7" s="18"/>
      <c r="K7" s="18"/>
      <c r="L7" s="18"/>
      <c r="M7" s="18" t="s">
        <v>120</v>
      </c>
      <c r="N7" s="18" t="s">
        <v>105</v>
      </c>
    </row>
    <row r="8" customHeight="1" spans="1:40">
      <c r="A8" s="18">
        <v>70</v>
      </c>
      <c r="B8" s="18">
        <v>25</v>
      </c>
      <c r="C8" s="18"/>
      <c r="D8" s="18">
        <v>25</v>
      </c>
      <c r="E8" s="18">
        <v>30</v>
      </c>
      <c r="F8" s="18">
        <v>22.6</v>
      </c>
      <c r="G8" s="18">
        <v>94</v>
      </c>
      <c r="H8" s="18">
        <v>97</v>
      </c>
      <c r="I8" s="18">
        <v>73.9</v>
      </c>
      <c r="J8" s="18"/>
      <c r="K8" s="18"/>
      <c r="L8" s="18"/>
      <c r="M8" s="18" t="s">
        <v>121</v>
      </c>
      <c r="N8" s="18" t="s">
        <v>105</v>
      </c>
    </row>
    <row r="9" customHeight="1" spans="1:40">
      <c r="B9" s="19"/>
      <c r="C9" s="19"/>
      <c r="D9" s="19"/>
      <c r="E9" s="19"/>
      <c r="G9" s="19"/>
      <c r="H9" s="19"/>
    </row>
    <row r="10" customHeight="1" spans="1:40">
      <c r="E10" s="2"/>
    </row>
    <row r="11" customHeight="1" spans="1:40">
      <c r="E11" s="2"/>
    </row>
    <row r="12" customHeight="1" spans="1:40">
      <c r="C12" s="18"/>
      <c r="D12" s="18"/>
      <c r="M12" s="19"/>
    </row>
    <row r="13" customHeight="1" spans="1:40">
      <c r="M13" s="19"/>
      <c r="N13" s="19"/>
      <c r="O13" s="19"/>
      <c r="P13" s="19"/>
      <c r="Q13" s="19"/>
      <c r="R13" s="19"/>
      <c r="S13" s="19"/>
      <c r="T13" s="19"/>
      <c r="V13" s="19"/>
      <c r="W13" s="19"/>
      <c r="X13" s="19"/>
      <c r="Y13" s="19"/>
      <c r="Z13" s="19"/>
      <c r="AA13" s="19"/>
      <c r="AB13" s="19"/>
      <c r="AD13" s="19"/>
      <c r="AE13" s="19"/>
      <c r="AF13" s="19"/>
      <c r="AG13" s="19"/>
      <c r="AH13" s="19"/>
      <c r="AI13" s="19"/>
      <c r="AJ13" s="19"/>
      <c r="AL13" s="19"/>
      <c r="AM13" s="19"/>
      <c r="AN13" s="19"/>
    </row>
    <row r="14" customHeight="1" spans="1:40">
      <c r="M14" s="19"/>
      <c r="N14" s="19"/>
      <c r="O14" s="19"/>
      <c r="P14" s="19"/>
      <c r="Q14" s="19"/>
      <c r="R14" s="19"/>
      <c r="S14" s="19"/>
      <c r="T14" s="19"/>
      <c r="V14" s="19"/>
      <c r="W14" s="19"/>
      <c r="X14" s="19"/>
      <c r="Y14" s="19"/>
      <c r="Z14" s="19"/>
      <c r="AA14" s="19"/>
      <c r="AB14" s="19"/>
      <c r="AD14" s="19"/>
      <c r="AE14" s="19"/>
      <c r="AF14" s="19"/>
      <c r="AG14" s="19"/>
      <c r="AH14" s="19"/>
      <c r="AI14" s="19"/>
      <c r="AJ14" s="19"/>
      <c r="AL14" s="19"/>
      <c r="AM14" s="19"/>
      <c r="AN14" s="19"/>
    </row>
    <row r="15" customHeight="1" spans="1:40">
      <c r="M15" s="19"/>
      <c r="N15" s="19"/>
      <c r="O15" s="19"/>
      <c r="P15" s="19"/>
      <c r="Q15" s="19"/>
      <c r="R15" s="19"/>
      <c r="S15" s="19"/>
      <c r="T15" s="19"/>
      <c r="V15" s="19"/>
      <c r="W15" s="19"/>
      <c r="X15" s="19"/>
      <c r="Y15" s="19"/>
      <c r="Z15" s="19"/>
      <c r="AA15" s="19"/>
      <c r="AB15" s="19"/>
      <c r="AD15" s="19"/>
      <c r="AE15" s="19"/>
      <c r="AF15" s="19"/>
      <c r="AG15" s="19"/>
      <c r="AH15" s="19"/>
      <c r="AI15" s="19"/>
      <c r="AJ15" s="19"/>
      <c r="AL15" s="19"/>
      <c r="AM15" s="19"/>
      <c r="AN15" s="19"/>
    </row>
    <row r="16" customHeight="1" spans="1:40">
      <c r="M16" s="19"/>
      <c r="N16" s="19"/>
      <c r="O16" s="19"/>
      <c r="P16" s="19"/>
      <c r="Q16" s="19"/>
      <c r="R16" s="19"/>
      <c r="S16" s="19"/>
      <c r="T16" s="19"/>
      <c r="V16" s="19"/>
      <c r="W16" s="19"/>
      <c r="X16" s="19"/>
      <c r="Y16" s="19"/>
      <c r="Z16" s="19"/>
      <c r="AA16" s="19"/>
      <c r="AB16" s="19"/>
      <c r="AD16" s="19"/>
      <c r="AE16" s="19"/>
      <c r="AF16" s="19"/>
      <c r="AG16" s="19"/>
      <c r="AH16" s="19"/>
      <c r="AI16" s="19"/>
      <c r="AJ16" s="19"/>
      <c r="AL16" s="19"/>
      <c r="AM16" s="19"/>
      <c r="AN16" s="19"/>
    </row>
    <row r="17" customHeight="1" spans="2:40">
      <c r="M17" s="19"/>
      <c r="N17" s="19"/>
      <c r="O17" s="19"/>
      <c r="P17" s="19"/>
      <c r="Q17" s="19"/>
      <c r="R17" s="19"/>
      <c r="S17" s="19"/>
      <c r="T17" s="19"/>
      <c r="V17" s="19"/>
      <c r="W17" s="19"/>
      <c r="X17" s="19"/>
      <c r="Y17" s="19"/>
      <c r="Z17" s="19"/>
      <c r="AA17" s="19"/>
      <c r="AB17" s="19"/>
      <c r="AD17" s="19"/>
      <c r="AE17" s="19"/>
      <c r="AF17" s="19"/>
      <c r="AG17" s="19"/>
      <c r="AH17" s="19"/>
      <c r="AI17" s="19"/>
      <c r="AJ17" s="19"/>
      <c r="AL17" s="19"/>
      <c r="AM17" s="19"/>
      <c r="AN17" s="19"/>
    </row>
    <row r="18" customHeight="1" spans="2:40">
      <c r="B18" s="1"/>
      <c r="M18" s="19"/>
      <c r="N18" s="19"/>
      <c r="O18" s="19"/>
      <c r="P18" s="19"/>
      <c r="Q18" s="19"/>
      <c r="R18" s="19"/>
      <c r="S18" s="19"/>
      <c r="T18" s="19"/>
      <c r="V18" s="19"/>
      <c r="W18" s="19"/>
      <c r="X18" s="19"/>
      <c r="Y18" s="19"/>
      <c r="Z18" s="19"/>
      <c r="AA18" s="19"/>
      <c r="AB18" s="19"/>
      <c r="AD18" s="19"/>
      <c r="AE18" s="19"/>
      <c r="AF18" s="19"/>
      <c r="AG18" s="19"/>
      <c r="AH18" s="19"/>
      <c r="AI18" s="19"/>
      <c r="AJ18" s="19"/>
      <c r="AL18" s="19"/>
      <c r="AM18" s="19"/>
      <c r="AN18" s="19"/>
    </row>
    <row r="19" customHeight="1" spans="2:40">
      <c r="B19" s="1"/>
      <c r="M19" s="19"/>
      <c r="N19" s="19"/>
      <c r="O19" s="19"/>
      <c r="P19" s="19"/>
      <c r="Q19" s="19"/>
      <c r="R19" s="19"/>
      <c r="S19" s="19"/>
      <c r="T19" s="19"/>
      <c r="V19" s="19"/>
      <c r="W19" s="19"/>
      <c r="X19" s="19"/>
      <c r="Y19" s="19"/>
      <c r="Z19" s="19"/>
      <c r="AA19" s="19"/>
      <c r="AB19" s="19"/>
      <c r="AD19" s="19"/>
      <c r="AE19" s="19"/>
      <c r="AF19" s="19"/>
      <c r="AG19" s="19"/>
      <c r="AH19" s="19"/>
      <c r="AI19" s="19"/>
      <c r="AJ19" s="19"/>
      <c r="AL19" s="19"/>
      <c r="AM19" s="19"/>
      <c r="AN19" s="19"/>
    </row>
    <row r="20" customHeight="1" spans="2:40">
      <c r="B20" s="1"/>
      <c r="M20" s="19"/>
      <c r="N20" s="19"/>
      <c r="O20" s="19"/>
      <c r="P20" s="19"/>
      <c r="Q20" s="19"/>
      <c r="R20" s="19"/>
      <c r="S20" s="19"/>
      <c r="T20" s="19"/>
      <c r="V20" s="19"/>
      <c r="W20" s="19"/>
      <c r="X20" s="19"/>
      <c r="Y20" s="19"/>
      <c r="Z20" s="19"/>
      <c r="AA20" s="19"/>
      <c r="AB20" s="19"/>
      <c r="AD20" s="19"/>
      <c r="AE20" s="19"/>
      <c r="AF20" s="19"/>
      <c r="AG20" s="19"/>
      <c r="AH20" s="19"/>
      <c r="AI20" s="19"/>
      <c r="AJ20" s="19"/>
      <c r="AL20" s="19"/>
      <c r="AM20" s="19"/>
      <c r="AN20" s="19"/>
    </row>
    <row r="21" customHeight="1" spans="2:40">
      <c r="B21" s="1"/>
      <c r="M21" s="19"/>
      <c r="N21" s="19"/>
      <c r="O21" s="19"/>
      <c r="P21" s="19"/>
      <c r="Q21" s="19"/>
      <c r="R21" s="19"/>
      <c r="S21" s="19"/>
      <c r="T21" s="19"/>
      <c r="V21" s="19"/>
      <c r="W21" s="19"/>
      <c r="X21" s="19"/>
      <c r="Y21" s="19"/>
      <c r="Z21" s="19"/>
      <c r="AA21" s="19"/>
      <c r="AB21" s="19"/>
      <c r="AD21" s="19"/>
      <c r="AE21" s="19"/>
      <c r="AF21" s="19"/>
      <c r="AG21" s="19"/>
      <c r="AH21" s="19"/>
      <c r="AI21" s="19"/>
      <c r="AJ21" s="19"/>
      <c r="AL21" s="19"/>
      <c r="AM21" s="19"/>
      <c r="AN21" s="19"/>
    </row>
    <row r="22" customHeight="1" spans="2:40">
      <c r="B22" s="1"/>
      <c r="M22" s="19"/>
      <c r="N22" s="19"/>
      <c r="O22" s="19"/>
      <c r="P22" s="19"/>
      <c r="Q22" s="19"/>
      <c r="R22" s="19"/>
      <c r="S22" s="19"/>
      <c r="T22" s="19"/>
      <c r="V22" s="19"/>
      <c r="W22" s="19"/>
      <c r="X22" s="19"/>
      <c r="Y22" s="19"/>
      <c r="Z22" s="19"/>
      <c r="AA22" s="19"/>
      <c r="AB22" s="19"/>
      <c r="AD22" s="19"/>
      <c r="AE22" s="19"/>
      <c r="AF22" s="19"/>
      <c r="AG22" s="19"/>
      <c r="AH22" s="19"/>
      <c r="AI22" s="19"/>
      <c r="AJ22" s="19"/>
      <c r="AL22" s="19"/>
      <c r="AM22" s="19"/>
      <c r="AN22" s="19"/>
    </row>
    <row r="23" customHeight="1" spans="2:40">
      <c r="B23" s="1"/>
      <c r="M23" s="19"/>
      <c r="N23" s="19"/>
      <c r="O23" s="19"/>
      <c r="P23" s="19"/>
      <c r="Q23" s="19"/>
      <c r="R23" s="19"/>
      <c r="S23" s="19"/>
      <c r="T23" s="19"/>
      <c r="V23" s="19"/>
      <c r="W23" s="19"/>
      <c r="X23" s="19"/>
      <c r="Y23" s="19"/>
      <c r="Z23" s="19"/>
      <c r="AA23" s="19"/>
      <c r="AB23" s="19"/>
      <c r="AD23" s="19"/>
      <c r="AE23" s="19"/>
      <c r="AF23" s="19"/>
      <c r="AG23" s="19"/>
      <c r="AH23" s="19"/>
      <c r="AI23" s="19"/>
      <c r="AJ23" s="19"/>
      <c r="AL23" s="19"/>
      <c r="AM23" s="19"/>
      <c r="AN23" s="19"/>
    </row>
    <row r="24" customHeight="1" spans="2:40">
      <c r="B24" s="1"/>
      <c r="M24" s="19"/>
      <c r="N24" s="19"/>
      <c r="O24" s="19"/>
      <c r="P24" s="19"/>
      <c r="Q24" s="19"/>
      <c r="R24" s="19"/>
      <c r="S24" s="19"/>
      <c r="T24" s="19"/>
      <c r="V24" s="19"/>
      <c r="W24" s="19"/>
      <c r="X24" s="19"/>
      <c r="Y24" s="19"/>
      <c r="Z24" s="19"/>
      <c r="AA24" s="19"/>
      <c r="AB24" s="19"/>
      <c r="AD24" s="19"/>
      <c r="AE24" s="19"/>
      <c r="AF24" s="19"/>
      <c r="AG24" s="19"/>
      <c r="AH24" s="19"/>
      <c r="AI24" s="19"/>
      <c r="AJ24" s="19"/>
      <c r="AL24" s="19"/>
      <c r="AM24" s="19"/>
      <c r="AN24" s="19"/>
    </row>
    <row r="25" customHeight="1" spans="2:40">
      <c r="B25" s="1"/>
      <c r="M25" s="19"/>
      <c r="N25" s="19"/>
      <c r="O25" s="19"/>
      <c r="P25" s="19"/>
      <c r="Q25" s="19"/>
      <c r="R25" s="19"/>
      <c r="S25" s="19"/>
      <c r="T25" s="19"/>
      <c r="V25" s="19"/>
      <c r="W25" s="19"/>
      <c r="X25" s="19"/>
      <c r="Y25" s="19"/>
      <c r="Z25" s="19"/>
      <c r="AA25" s="19"/>
      <c r="AB25" s="19"/>
      <c r="AD25" s="19"/>
      <c r="AE25" s="19"/>
      <c r="AF25" s="19"/>
      <c r="AG25" s="19"/>
      <c r="AH25" s="19"/>
      <c r="AI25" s="19"/>
      <c r="AJ25" s="19"/>
      <c r="AL25" s="19"/>
      <c r="AM25" s="19"/>
      <c r="AN25" s="19"/>
    </row>
    <row r="26" customHeight="1" spans="2:40">
      <c r="B26" s="1"/>
      <c r="M26" s="19"/>
      <c r="N26" s="19"/>
      <c r="O26" s="19"/>
      <c r="P26" s="19"/>
      <c r="Q26" s="19"/>
      <c r="R26" s="19"/>
      <c r="S26" s="19"/>
      <c r="T26" s="19"/>
      <c r="V26" s="19"/>
      <c r="W26" s="19"/>
      <c r="X26" s="19"/>
      <c r="Y26" s="19"/>
      <c r="Z26" s="19"/>
      <c r="AA26" s="19"/>
      <c r="AB26" s="19"/>
      <c r="AD26" s="19"/>
      <c r="AE26" s="19"/>
      <c r="AF26" s="19"/>
      <c r="AG26" s="19"/>
      <c r="AH26" s="19"/>
      <c r="AI26" s="19"/>
      <c r="AJ26" s="19"/>
      <c r="AL26" s="19"/>
      <c r="AM26" s="19"/>
      <c r="AN26" s="19"/>
    </row>
    <row r="27" customHeight="1" spans="2:40">
      <c r="B27" s="1"/>
      <c r="M27" s="19"/>
      <c r="N27" s="19"/>
      <c r="O27" s="19"/>
      <c r="P27" s="19"/>
      <c r="Q27" s="19"/>
      <c r="R27" s="19"/>
      <c r="S27" s="19"/>
      <c r="T27" s="19"/>
      <c r="V27" s="19"/>
      <c r="W27" s="19"/>
      <c r="X27" s="19"/>
      <c r="Y27" s="19"/>
      <c r="Z27" s="19"/>
      <c r="AA27" s="19"/>
      <c r="AB27" s="19"/>
      <c r="AD27" s="19"/>
      <c r="AE27" s="19"/>
      <c r="AF27" s="19"/>
      <c r="AG27" s="19"/>
      <c r="AH27" s="19"/>
      <c r="AI27" s="19"/>
      <c r="AJ27" s="19"/>
      <c r="AL27" s="19"/>
      <c r="AM27" s="19"/>
      <c r="AN27" s="19"/>
    </row>
    <row r="28" customHeight="1" spans="2:40">
      <c r="B28" s="1"/>
      <c r="M28" s="19"/>
      <c r="N28" s="19"/>
      <c r="O28" s="19"/>
      <c r="P28" s="19"/>
      <c r="Q28" s="19"/>
      <c r="R28" s="19"/>
      <c r="S28" s="19"/>
      <c r="T28" s="19"/>
      <c r="V28" s="19"/>
      <c r="W28" s="19"/>
      <c r="X28" s="19"/>
      <c r="Y28" s="19"/>
      <c r="Z28" s="19"/>
      <c r="AA28" s="19"/>
      <c r="AB28" s="19"/>
      <c r="AD28" s="19"/>
      <c r="AE28" s="19"/>
      <c r="AF28" s="19"/>
      <c r="AG28" s="19"/>
      <c r="AH28" s="19"/>
      <c r="AI28" s="19"/>
      <c r="AJ28" s="19"/>
      <c r="AL28" s="19"/>
      <c r="AM28" s="19"/>
      <c r="AN28" s="19"/>
    </row>
    <row r="29" customHeight="1" spans="2:40">
      <c r="B29" s="1"/>
      <c r="M29" s="19"/>
      <c r="N29" s="19"/>
      <c r="O29" s="19"/>
      <c r="P29" s="19"/>
      <c r="Q29" s="19"/>
      <c r="R29" s="19"/>
      <c r="S29" s="19"/>
      <c r="T29" s="19"/>
      <c r="V29" s="19"/>
      <c r="W29" s="19"/>
      <c r="X29" s="19"/>
      <c r="Y29" s="19"/>
      <c r="Z29" s="19"/>
      <c r="AA29" s="19"/>
      <c r="AB29" s="19"/>
      <c r="AD29" s="19"/>
      <c r="AE29" s="19"/>
      <c r="AF29" s="19"/>
      <c r="AG29" s="19"/>
      <c r="AH29" s="19"/>
      <c r="AI29" s="19"/>
      <c r="AJ29" s="19"/>
      <c r="AL29" s="19"/>
      <c r="AM29" s="19"/>
      <c r="AN29" s="19"/>
    </row>
    <row r="30" customHeight="1" spans="2:40">
      <c r="B30" s="1"/>
      <c r="M30" s="19"/>
      <c r="N30" s="19"/>
      <c r="O30" s="19"/>
      <c r="P30" s="19"/>
      <c r="Q30" s="19"/>
      <c r="R30" s="19"/>
      <c r="S30" s="19"/>
      <c r="T30" s="19"/>
      <c r="V30" s="19"/>
      <c r="W30" s="19"/>
      <c r="X30" s="19"/>
      <c r="Y30" s="19"/>
      <c r="Z30" s="19"/>
      <c r="AA30" s="19"/>
      <c r="AB30" s="19"/>
      <c r="AD30" s="19"/>
      <c r="AE30" s="19"/>
      <c r="AF30" s="19"/>
      <c r="AG30" s="19"/>
      <c r="AH30" s="19"/>
      <c r="AI30" s="19"/>
      <c r="AJ30" s="19"/>
      <c r="AL30" s="19"/>
      <c r="AM30" s="19"/>
      <c r="AN30" s="19"/>
    </row>
    <row r="31" customHeight="1" spans="2:40">
      <c r="D31" s="20"/>
      <c r="M31" s="19"/>
      <c r="N31" s="19"/>
      <c r="O31" s="19"/>
      <c r="P31" s="19"/>
      <c r="Q31" s="19"/>
      <c r="R31" s="19"/>
      <c r="S31" s="19"/>
      <c r="T31" s="19"/>
      <c r="V31" s="19"/>
      <c r="W31" s="19"/>
      <c r="X31" s="19"/>
      <c r="Y31" s="19"/>
      <c r="Z31" s="19"/>
      <c r="AA31" s="19"/>
      <c r="AB31" s="19"/>
      <c r="AD31" s="19"/>
      <c r="AE31" s="19"/>
      <c r="AF31" s="19"/>
      <c r="AG31" s="19"/>
      <c r="AH31" s="19"/>
      <c r="AI31" s="19"/>
      <c r="AJ31" s="19"/>
      <c r="AL31" s="19"/>
      <c r="AM31" s="19"/>
      <c r="AN31" s="19"/>
    </row>
    <row r="32" customHeight="1" spans="2:40">
      <c r="M32" s="19"/>
      <c r="N32" s="19"/>
      <c r="O32" s="19"/>
      <c r="P32" s="19"/>
      <c r="Q32" s="19"/>
      <c r="R32" s="19"/>
      <c r="S32" s="19"/>
      <c r="T32" s="19"/>
      <c r="V32" s="19"/>
      <c r="W32" s="19"/>
      <c r="X32" s="19"/>
      <c r="Y32" s="19"/>
      <c r="Z32" s="19"/>
      <c r="AA32" s="19"/>
      <c r="AB32" s="19"/>
      <c r="AD32" s="19"/>
      <c r="AE32" s="19"/>
      <c r="AF32" s="19"/>
      <c r="AG32" s="19"/>
      <c r="AH32" s="19"/>
      <c r="AI32" s="19"/>
      <c r="AJ32" s="19"/>
      <c r="AL32" s="19"/>
      <c r="AM32" s="19"/>
      <c r="AN32" s="19"/>
    </row>
    <row r="33" customHeight="1" spans="1:40">
      <c r="M33" s="19"/>
      <c r="N33" s="19"/>
      <c r="O33" s="19"/>
      <c r="P33" s="19"/>
      <c r="Q33" s="19"/>
      <c r="R33" s="19"/>
      <c r="S33" s="19"/>
      <c r="T33" s="19"/>
      <c r="V33" s="19"/>
      <c r="W33" s="19"/>
      <c r="X33" s="19"/>
      <c r="Y33" s="19"/>
      <c r="Z33" s="19"/>
      <c r="AA33" s="19"/>
      <c r="AB33" s="19"/>
      <c r="AD33" s="19"/>
      <c r="AE33" s="19"/>
      <c r="AF33" s="19"/>
      <c r="AG33" s="19"/>
      <c r="AH33" s="19"/>
      <c r="AI33" s="19"/>
      <c r="AJ33" s="19"/>
      <c r="AL33" s="19"/>
      <c r="AM33" s="19"/>
      <c r="AN33" s="19"/>
    </row>
    <row r="34" customHeight="1" spans="1:40">
      <c r="M34" s="19"/>
      <c r="N34" s="19"/>
      <c r="O34" s="19"/>
      <c r="P34" s="19"/>
      <c r="Q34" s="19"/>
      <c r="R34" s="19"/>
      <c r="S34" s="19"/>
      <c r="T34" s="19"/>
      <c r="V34" s="19"/>
      <c r="W34" s="19"/>
      <c r="X34" s="19"/>
      <c r="Y34" s="19"/>
      <c r="Z34" s="19"/>
      <c r="AA34" s="19"/>
      <c r="AB34" s="19"/>
      <c r="AD34" s="19"/>
      <c r="AE34" s="19"/>
      <c r="AF34" s="19"/>
      <c r="AG34" s="19"/>
      <c r="AH34" s="19"/>
      <c r="AI34" s="19"/>
      <c r="AJ34" s="19"/>
      <c r="AL34" s="19"/>
      <c r="AM34" s="19"/>
      <c r="AN34" s="19"/>
    </row>
    <row r="35" customHeight="1" spans="1:40">
      <c r="M35" s="19"/>
      <c r="N35" s="19"/>
      <c r="O35" s="19"/>
      <c r="P35" s="19"/>
      <c r="Q35" s="19"/>
      <c r="R35" s="19"/>
      <c r="S35" s="19"/>
      <c r="T35" s="19"/>
      <c r="V35" s="19"/>
      <c r="W35" s="19"/>
      <c r="X35" s="19"/>
      <c r="Y35" s="19"/>
      <c r="Z35" s="19"/>
      <c r="AA35" s="19"/>
      <c r="AB35" s="19"/>
      <c r="AD35" s="19"/>
      <c r="AE35" s="19"/>
      <c r="AF35" s="19"/>
      <c r="AG35" s="19"/>
      <c r="AH35" s="19"/>
      <c r="AI35" s="19"/>
      <c r="AJ35" s="19"/>
      <c r="AL35" s="19"/>
      <c r="AM35" s="19"/>
      <c r="AN35" s="19"/>
    </row>
    <row r="36" customHeight="1" spans="1:40">
      <c r="M36" s="19"/>
      <c r="N36" s="19"/>
      <c r="O36" s="19"/>
      <c r="P36" s="19"/>
      <c r="Q36" s="19"/>
      <c r="R36" s="19"/>
      <c r="S36" s="19"/>
      <c r="T36" s="19"/>
      <c r="V36" s="19"/>
      <c r="W36" s="19"/>
      <c r="X36" s="19"/>
      <c r="Y36" s="19"/>
      <c r="Z36" s="19"/>
      <c r="AA36" s="19"/>
      <c r="AB36" s="19"/>
      <c r="AD36" s="19"/>
      <c r="AE36" s="19"/>
      <c r="AF36" s="19"/>
      <c r="AG36" s="19"/>
      <c r="AH36" s="19"/>
      <c r="AI36" s="19"/>
      <c r="AJ36" s="19"/>
      <c r="AL36" s="19"/>
      <c r="AM36" s="19"/>
      <c r="AN36" s="19"/>
    </row>
    <row r="37" customHeight="1" spans="1:40">
      <c r="M37" s="19"/>
      <c r="N37" s="19"/>
      <c r="O37" s="19"/>
      <c r="P37" s="19"/>
      <c r="Q37" s="19"/>
      <c r="R37" s="19"/>
      <c r="S37" s="19"/>
      <c r="T37" s="19"/>
      <c r="V37" s="19"/>
      <c r="W37" s="19"/>
      <c r="X37" s="19"/>
      <c r="Y37" s="19"/>
      <c r="Z37" s="19"/>
      <c r="AA37" s="19"/>
      <c r="AB37" s="19"/>
      <c r="AD37" s="19"/>
      <c r="AE37" s="19"/>
      <c r="AF37" s="19"/>
      <c r="AG37" s="19"/>
      <c r="AH37" s="19"/>
      <c r="AI37" s="19"/>
      <c r="AJ37" s="19"/>
      <c r="AL37" s="19"/>
      <c r="AM37" s="19"/>
      <c r="AN37" s="19"/>
    </row>
    <row r="38" customHeight="1" spans="1:40">
      <c r="M38" s="19"/>
      <c r="N38" s="19"/>
      <c r="O38" s="19"/>
      <c r="P38" s="19"/>
      <c r="Q38" s="19"/>
      <c r="R38" s="19"/>
      <c r="S38" s="19"/>
      <c r="T38" s="19"/>
      <c r="V38" s="19"/>
      <c r="W38" s="19"/>
      <c r="X38" s="19"/>
      <c r="Y38" s="19"/>
      <c r="Z38" s="19"/>
      <c r="AA38" s="19"/>
      <c r="AB38" s="19"/>
      <c r="AD38" s="19"/>
      <c r="AE38" s="19"/>
      <c r="AF38" s="19"/>
      <c r="AG38" s="19"/>
      <c r="AH38" s="19"/>
      <c r="AI38" s="19"/>
      <c r="AJ38" s="19"/>
      <c r="AL38" s="19"/>
      <c r="AM38" s="19"/>
      <c r="AN38" s="19"/>
    </row>
    <row r="39" customHeight="1" spans="1:40">
      <c r="M39" s="19"/>
      <c r="N39" s="19"/>
      <c r="O39" s="19"/>
      <c r="P39" s="19"/>
      <c r="Q39" s="19"/>
      <c r="R39" s="19"/>
      <c r="S39" s="19"/>
      <c r="T39" s="19"/>
      <c r="V39" s="19"/>
      <c r="W39" s="19"/>
      <c r="X39" s="19"/>
      <c r="Y39" s="19"/>
      <c r="Z39" s="19"/>
      <c r="AA39" s="19"/>
      <c r="AB39" s="19"/>
      <c r="AD39" s="19"/>
      <c r="AE39" s="19"/>
      <c r="AF39" s="19"/>
      <c r="AG39" s="19"/>
      <c r="AH39" s="19"/>
      <c r="AI39" s="19"/>
      <c r="AJ39" s="19"/>
      <c r="AL39" s="19"/>
      <c r="AM39" s="19"/>
      <c r="AN39" s="19"/>
    </row>
    <row r="40" customHeight="1" spans="1:40">
      <c r="M40" s="19"/>
      <c r="N40" s="19"/>
      <c r="O40" s="19"/>
      <c r="P40" s="19"/>
      <c r="Q40" s="19"/>
      <c r="R40" s="19"/>
      <c r="S40" s="19"/>
      <c r="T40" s="19"/>
      <c r="V40" s="19"/>
      <c r="W40" s="19"/>
      <c r="X40" s="19"/>
      <c r="Y40" s="19"/>
      <c r="Z40" s="19"/>
      <c r="AA40" s="19"/>
      <c r="AB40" s="19"/>
      <c r="AD40" s="19"/>
      <c r="AE40" s="19"/>
      <c r="AF40" s="19"/>
      <c r="AG40" s="19"/>
      <c r="AH40" s="19"/>
      <c r="AI40" s="19"/>
      <c r="AJ40" s="19"/>
      <c r="AL40" s="19"/>
      <c r="AM40" s="19"/>
      <c r="AN40" s="19"/>
    </row>
    <row r="41" customHeight="1" spans="1:40">
      <c r="A41" s="19"/>
      <c r="B41" s="19"/>
      <c r="C41" s="19"/>
      <c r="D41" s="19"/>
      <c r="E41" s="19"/>
      <c r="F41" s="19"/>
      <c r="G41" s="19"/>
      <c r="M41" s="19"/>
      <c r="N41" s="19"/>
      <c r="O41" s="19"/>
      <c r="P41" s="19"/>
      <c r="Q41" s="19"/>
      <c r="R41" s="19"/>
      <c r="S41" s="19"/>
      <c r="T41" s="19"/>
      <c r="V41" s="19"/>
      <c r="W41" s="19"/>
      <c r="X41" s="19"/>
      <c r="Y41" s="19"/>
      <c r="Z41" s="19"/>
      <c r="AA41" s="19"/>
      <c r="AB41" s="19"/>
      <c r="AD41" s="19"/>
      <c r="AE41" s="19"/>
      <c r="AF41" s="19"/>
      <c r="AG41" s="19"/>
      <c r="AH41" s="19"/>
      <c r="AI41" s="19"/>
      <c r="AJ41" s="19"/>
      <c r="AL41" s="19"/>
      <c r="AM41" s="19"/>
      <c r="AN41" s="19"/>
    </row>
    <row r="42" customHeight="1" spans="1:40">
      <c r="A42" s="19"/>
      <c r="B42" s="19"/>
      <c r="C42" s="19"/>
      <c r="D42" s="19"/>
      <c r="E42" s="19"/>
      <c r="F42" s="19"/>
      <c r="G42" s="19"/>
      <c r="M42" s="19"/>
      <c r="N42" s="19"/>
      <c r="O42" s="19"/>
      <c r="P42" s="19"/>
      <c r="Q42" s="19"/>
      <c r="R42" s="19"/>
      <c r="S42" s="19"/>
      <c r="T42" s="19"/>
      <c r="V42" s="19"/>
      <c r="W42" s="19"/>
      <c r="X42" s="19"/>
      <c r="Y42" s="19"/>
      <c r="Z42" s="19"/>
      <c r="AA42" s="19"/>
      <c r="AB42" s="19"/>
      <c r="AD42" s="19"/>
      <c r="AE42" s="19"/>
      <c r="AF42" s="19"/>
      <c r="AG42" s="19"/>
      <c r="AH42" s="19"/>
      <c r="AI42" s="19"/>
      <c r="AJ42" s="19"/>
      <c r="AL42" s="19"/>
      <c r="AM42" s="19"/>
      <c r="AN42" s="19"/>
    </row>
    <row r="43" customHeight="1" spans="1:40">
      <c r="A43" s="19"/>
      <c r="B43" s="19"/>
      <c r="C43" s="19"/>
      <c r="D43" s="19"/>
      <c r="E43" s="19"/>
      <c r="F43" s="19"/>
      <c r="G43" s="19"/>
      <c r="M43" s="19"/>
      <c r="N43" s="19"/>
      <c r="O43" s="19"/>
      <c r="P43" s="19"/>
      <c r="Q43" s="19"/>
      <c r="R43" s="19"/>
      <c r="S43" s="19"/>
      <c r="T43" s="19"/>
      <c r="V43" s="19"/>
      <c r="W43" s="19"/>
      <c r="X43" s="19"/>
      <c r="Y43" s="19"/>
      <c r="Z43" s="19"/>
      <c r="AA43" s="19"/>
      <c r="AB43" s="19"/>
      <c r="AD43" s="19"/>
      <c r="AE43" s="19"/>
      <c r="AF43" s="19"/>
      <c r="AG43" s="19"/>
      <c r="AH43" s="19"/>
      <c r="AI43" s="19"/>
      <c r="AJ43" s="19"/>
      <c r="AL43" s="19"/>
      <c r="AM43" s="19"/>
      <c r="AN43" s="19"/>
    </row>
    <row r="44" customHeight="1" spans="1:40">
      <c r="A44" s="19"/>
      <c r="B44" s="19"/>
      <c r="C44" s="19"/>
      <c r="D44" s="19"/>
      <c r="E44" s="19"/>
      <c r="F44" s="19"/>
      <c r="G44" s="19"/>
      <c r="M44" s="19"/>
      <c r="N44" s="19"/>
      <c r="O44" s="19"/>
      <c r="P44" s="19"/>
      <c r="Q44" s="19"/>
      <c r="R44" s="19"/>
      <c r="S44" s="19"/>
      <c r="T44" s="19"/>
      <c r="V44" s="19"/>
      <c r="W44" s="19"/>
      <c r="X44" s="19"/>
      <c r="Y44" s="19"/>
      <c r="Z44" s="19"/>
      <c r="AA44" s="19"/>
      <c r="AB44" s="19"/>
      <c r="AD44" s="19"/>
      <c r="AE44" s="19"/>
      <c r="AF44" s="19"/>
      <c r="AG44" s="19"/>
      <c r="AH44" s="19"/>
      <c r="AI44" s="19"/>
      <c r="AJ44" s="19"/>
      <c r="AL44" s="19"/>
      <c r="AM44" s="19"/>
      <c r="AN44" s="19"/>
    </row>
    <row r="45" customHeight="1" spans="1:40">
      <c r="A45" s="19"/>
      <c r="B45" s="19"/>
      <c r="C45" s="19"/>
      <c r="D45" s="19"/>
      <c r="E45" s="19"/>
      <c r="F45" s="19"/>
      <c r="G45" s="19"/>
      <c r="M45" s="19"/>
      <c r="N45" s="19"/>
      <c r="O45" s="19"/>
      <c r="P45" s="19"/>
      <c r="Q45" s="19"/>
      <c r="R45" s="19"/>
      <c r="S45" s="19"/>
      <c r="T45" s="19"/>
      <c r="V45" s="19"/>
      <c r="W45" s="19"/>
      <c r="X45" s="19"/>
      <c r="Y45" s="19"/>
      <c r="Z45" s="19"/>
      <c r="AA45" s="19"/>
      <c r="AB45" s="19"/>
      <c r="AD45" s="19"/>
      <c r="AE45" s="19"/>
      <c r="AF45" s="19"/>
      <c r="AG45" s="19"/>
      <c r="AH45" s="19"/>
      <c r="AI45" s="19"/>
      <c r="AJ45" s="19"/>
      <c r="AL45" s="19"/>
      <c r="AM45" s="19"/>
      <c r="AN45" s="19"/>
    </row>
    <row r="46" customHeight="1" spans="1:40">
      <c r="M46" s="19"/>
      <c r="N46" s="19"/>
      <c r="O46" s="19"/>
      <c r="P46" s="19"/>
      <c r="Q46" s="19"/>
      <c r="R46" s="19"/>
      <c r="S46" s="19"/>
      <c r="T46" s="19"/>
      <c r="V46" s="19"/>
      <c r="W46" s="19"/>
      <c r="X46" s="19"/>
      <c r="Y46" s="19"/>
      <c r="Z46" s="19"/>
      <c r="AA46" s="19"/>
      <c r="AB46" s="19"/>
      <c r="AD46" s="19"/>
      <c r="AE46" s="19"/>
      <c r="AF46" s="19"/>
      <c r="AG46" s="19"/>
      <c r="AH46" s="19"/>
      <c r="AI46" s="19"/>
      <c r="AJ46" s="19"/>
      <c r="AL46" s="19"/>
      <c r="AM46" s="19"/>
      <c r="AN46" s="19"/>
    </row>
    <row r="47" customHeight="1" spans="1:40">
      <c r="M47" s="19"/>
      <c r="N47" s="19"/>
      <c r="O47" s="19"/>
      <c r="P47" s="19"/>
      <c r="Q47" s="19"/>
      <c r="R47" s="19"/>
      <c r="S47" s="19"/>
      <c r="T47" s="19"/>
      <c r="V47" s="19"/>
      <c r="W47" s="19"/>
      <c r="X47" s="19"/>
      <c r="Y47" s="19"/>
      <c r="Z47" s="19"/>
      <c r="AA47" s="19"/>
      <c r="AB47" s="19"/>
      <c r="AD47" s="19"/>
      <c r="AE47" s="19"/>
      <c r="AF47" s="19"/>
      <c r="AG47" s="19"/>
      <c r="AH47" s="19"/>
      <c r="AI47" s="19"/>
      <c r="AJ47" s="19"/>
      <c r="AL47" s="19"/>
      <c r="AM47" s="19"/>
      <c r="AN47" s="19"/>
    </row>
    <row r="48" customHeight="1" spans="1:40">
      <c r="M48" s="19"/>
      <c r="N48" s="19"/>
      <c r="O48" s="19"/>
      <c r="P48" s="19"/>
      <c r="Q48" s="19"/>
      <c r="R48" s="19"/>
      <c r="S48" s="19"/>
      <c r="T48" s="19"/>
      <c r="V48" s="19"/>
      <c r="W48" s="19"/>
      <c r="X48" s="19"/>
      <c r="Y48" s="19"/>
      <c r="Z48" s="19"/>
      <c r="AA48" s="19"/>
      <c r="AB48" s="19"/>
      <c r="AD48" s="19"/>
      <c r="AE48" s="19"/>
      <c r="AF48" s="19"/>
      <c r="AG48" s="19"/>
      <c r="AH48" s="19"/>
      <c r="AI48" s="19"/>
      <c r="AJ48" s="19"/>
      <c r="AL48" s="19"/>
      <c r="AM48" s="19"/>
      <c r="AN48" s="19"/>
    </row>
    <row r="49" customHeight="1" spans="13:40">
      <c r="M49" s="19"/>
      <c r="N49" s="19"/>
      <c r="O49" s="19"/>
      <c r="P49" s="19"/>
      <c r="Q49" s="19"/>
      <c r="R49" s="19"/>
      <c r="S49" s="19"/>
      <c r="T49" s="19"/>
      <c r="V49" s="19"/>
      <c r="W49" s="19"/>
      <c r="X49" s="19"/>
      <c r="Y49" s="19"/>
      <c r="Z49" s="19"/>
      <c r="AA49" s="19"/>
      <c r="AB49" s="19"/>
      <c r="AD49" s="19"/>
      <c r="AE49" s="19"/>
      <c r="AF49" s="19"/>
      <c r="AG49" s="19"/>
      <c r="AH49" s="19"/>
      <c r="AI49" s="19"/>
      <c r="AJ49" s="19"/>
      <c r="AL49" s="19"/>
      <c r="AM49" s="19"/>
      <c r="AN49" s="19"/>
    </row>
    <row r="50" customHeight="1" spans="13:40">
      <c r="M50" s="19"/>
      <c r="N50" s="19"/>
      <c r="O50" s="19"/>
      <c r="P50" s="19"/>
      <c r="Q50" s="19"/>
      <c r="R50" s="19"/>
      <c r="S50" s="19"/>
      <c r="T50" s="19"/>
      <c r="V50" s="19"/>
      <c r="W50" s="19"/>
      <c r="X50" s="19"/>
      <c r="Y50" s="19"/>
      <c r="Z50" s="19"/>
      <c r="AA50" s="19"/>
      <c r="AB50" s="19"/>
      <c r="AD50" s="19"/>
      <c r="AE50" s="19"/>
      <c r="AF50" s="19"/>
      <c r="AG50" s="19"/>
      <c r="AH50" s="19"/>
      <c r="AI50" s="19"/>
      <c r="AJ50" s="19"/>
      <c r="AL50" s="19"/>
      <c r="AM50" s="19"/>
      <c r="AN50" s="19"/>
    </row>
    <row r="51" customHeight="1" spans="13:40">
      <c r="M51" s="19"/>
      <c r="N51" s="19"/>
      <c r="O51" s="19"/>
      <c r="P51" s="19"/>
      <c r="Q51" s="19"/>
      <c r="R51" s="19"/>
      <c r="S51" s="19"/>
      <c r="T51" s="19"/>
      <c r="V51" s="19"/>
      <c r="W51" s="19"/>
      <c r="X51" s="19"/>
      <c r="Y51" s="19"/>
      <c r="Z51" s="19"/>
      <c r="AA51" s="19"/>
      <c r="AB51" s="19"/>
      <c r="AD51" s="19"/>
      <c r="AE51" s="19"/>
      <c r="AF51" s="19"/>
      <c r="AG51" s="19"/>
      <c r="AH51" s="19"/>
      <c r="AI51" s="19"/>
      <c r="AJ51" s="19"/>
      <c r="AL51" s="19"/>
      <c r="AM51" s="19"/>
      <c r="AN51" s="19"/>
    </row>
    <row r="52" customHeight="1" spans="13:40">
      <c r="M52" s="19"/>
      <c r="N52" s="19"/>
      <c r="O52" s="19"/>
      <c r="P52" s="19"/>
      <c r="Q52" s="19"/>
      <c r="R52" s="19"/>
      <c r="S52" s="19"/>
      <c r="T52" s="19"/>
      <c r="V52" s="19"/>
      <c r="W52" s="19"/>
      <c r="X52" s="19"/>
      <c r="Y52" s="19"/>
      <c r="Z52" s="19"/>
      <c r="AA52" s="19"/>
      <c r="AB52" s="19"/>
      <c r="AD52" s="19"/>
      <c r="AE52" s="19"/>
      <c r="AF52" s="19"/>
      <c r="AG52" s="19"/>
      <c r="AH52" s="19"/>
      <c r="AI52" s="19"/>
      <c r="AJ52" s="19"/>
      <c r="AL52" s="19"/>
      <c r="AM52" s="19"/>
      <c r="AN52" s="19"/>
    </row>
    <row r="53" customHeight="1" spans="13:40">
      <c r="M53" s="19"/>
      <c r="N53" s="19"/>
      <c r="O53" s="19"/>
      <c r="P53" s="19"/>
      <c r="Q53" s="19"/>
      <c r="R53" s="19"/>
      <c r="S53" s="19"/>
      <c r="T53" s="19"/>
      <c r="V53" s="19"/>
      <c r="W53" s="19"/>
      <c r="X53" s="19"/>
      <c r="Y53" s="19"/>
      <c r="Z53" s="19"/>
      <c r="AA53" s="19"/>
      <c r="AB53" s="19"/>
      <c r="AD53" s="19"/>
      <c r="AE53" s="19"/>
      <c r="AF53" s="19"/>
      <c r="AG53" s="19"/>
      <c r="AH53" s="19"/>
      <c r="AI53" s="19"/>
      <c r="AJ53" s="19"/>
      <c r="AL53" s="19"/>
      <c r="AM53" s="19"/>
      <c r="AN53" s="19"/>
    </row>
    <row r="54" customHeight="1" spans="13:40">
      <c r="M54" s="19"/>
      <c r="N54" s="19"/>
      <c r="O54" s="19"/>
      <c r="P54" s="19"/>
      <c r="Q54" s="19"/>
      <c r="R54" s="19"/>
      <c r="S54" s="19"/>
      <c r="T54" s="19"/>
      <c r="V54" s="19"/>
      <c r="W54" s="19"/>
      <c r="X54" s="19"/>
      <c r="Y54" s="19"/>
      <c r="Z54" s="19"/>
      <c r="AA54" s="19"/>
      <c r="AB54" s="19"/>
      <c r="AD54" s="19"/>
      <c r="AE54" s="19"/>
      <c r="AF54" s="19"/>
      <c r="AG54" s="19"/>
      <c r="AH54" s="19"/>
      <c r="AI54" s="19"/>
      <c r="AJ54" s="19"/>
      <c r="AL54" s="19"/>
      <c r="AM54" s="19"/>
      <c r="AN54" s="19"/>
    </row>
    <row r="55" customHeight="1" spans="13:40">
      <c r="M55" s="19"/>
      <c r="N55" s="19"/>
      <c r="O55" s="19"/>
      <c r="P55" s="19"/>
      <c r="Q55" s="19"/>
      <c r="R55" s="19"/>
      <c r="S55" s="19"/>
      <c r="T55" s="19"/>
      <c r="V55" s="19"/>
      <c r="W55" s="19"/>
      <c r="X55" s="19"/>
      <c r="Y55" s="19"/>
      <c r="Z55" s="19"/>
      <c r="AA55" s="19"/>
      <c r="AB55" s="19"/>
      <c r="AD55" s="19"/>
      <c r="AE55" s="19"/>
      <c r="AF55" s="19"/>
      <c r="AG55" s="19"/>
      <c r="AH55" s="19"/>
      <c r="AI55" s="19"/>
      <c r="AJ55" s="19"/>
      <c r="AL55" s="19"/>
      <c r="AM55" s="19"/>
      <c r="AN55" s="19"/>
    </row>
    <row r="56" customHeight="1" spans="13:40">
      <c r="M56" s="19"/>
      <c r="N56" s="19"/>
      <c r="O56" s="19"/>
      <c r="P56" s="19"/>
      <c r="Q56" s="19"/>
      <c r="R56" s="19"/>
      <c r="S56" s="19"/>
      <c r="T56" s="19"/>
      <c r="V56" s="19"/>
      <c r="W56" s="19"/>
      <c r="X56" s="19"/>
      <c r="Y56" s="19"/>
      <c r="Z56" s="19"/>
      <c r="AA56" s="19"/>
      <c r="AB56" s="19"/>
      <c r="AD56" s="19"/>
      <c r="AE56" s="19"/>
      <c r="AF56" s="19"/>
      <c r="AG56" s="19"/>
      <c r="AH56" s="19"/>
      <c r="AI56" s="19"/>
      <c r="AJ56" s="19"/>
      <c r="AL56" s="19"/>
      <c r="AM56" s="19"/>
      <c r="AN56" s="19"/>
    </row>
    <row r="57" customHeight="1" spans="13:40">
      <c r="M57" s="19"/>
      <c r="N57" s="19"/>
      <c r="O57" s="19"/>
      <c r="P57" s="19"/>
      <c r="Q57" s="19"/>
      <c r="R57" s="19"/>
      <c r="S57" s="19"/>
      <c r="T57" s="19"/>
      <c r="V57" s="19"/>
      <c r="W57" s="19"/>
      <c r="X57" s="19"/>
      <c r="Y57" s="19"/>
      <c r="Z57" s="19"/>
      <c r="AA57" s="19"/>
      <c r="AB57" s="19"/>
      <c r="AD57" s="19"/>
      <c r="AE57" s="19"/>
      <c r="AF57" s="19"/>
      <c r="AG57" s="19"/>
      <c r="AH57" s="19"/>
      <c r="AI57" s="19"/>
      <c r="AJ57" s="19"/>
      <c r="AL57" s="19"/>
      <c r="AM57" s="19"/>
      <c r="AN57" s="19"/>
    </row>
    <row r="58" customHeight="1" spans="13:40">
      <c r="M58" s="19"/>
      <c r="N58" s="19"/>
      <c r="O58" s="19"/>
      <c r="P58" s="19"/>
      <c r="Q58" s="19"/>
      <c r="R58" s="19"/>
      <c r="S58" s="19"/>
      <c r="T58" s="19"/>
      <c r="V58" s="19"/>
      <c r="W58" s="19"/>
      <c r="X58" s="19"/>
      <c r="Y58" s="19"/>
      <c r="Z58" s="19"/>
      <c r="AA58" s="19"/>
      <c r="AB58" s="19"/>
      <c r="AD58" s="19"/>
      <c r="AE58" s="19"/>
      <c r="AF58" s="19"/>
      <c r="AG58" s="19"/>
      <c r="AH58" s="19"/>
      <c r="AI58" s="19"/>
      <c r="AJ58" s="19"/>
      <c r="AL58" s="19"/>
      <c r="AM58" s="19"/>
      <c r="AN58" s="19"/>
    </row>
    <row r="59" customHeight="1" spans="13:40">
      <c r="M59" s="19"/>
      <c r="N59" s="19"/>
      <c r="O59" s="19"/>
      <c r="P59" s="19"/>
      <c r="Q59" s="19"/>
      <c r="R59" s="19"/>
      <c r="S59" s="19"/>
      <c r="T59" s="19"/>
      <c r="V59" s="19"/>
      <c r="W59" s="19"/>
      <c r="X59" s="19"/>
      <c r="Y59" s="19"/>
      <c r="Z59" s="19"/>
      <c r="AA59" s="19"/>
      <c r="AB59" s="19"/>
      <c r="AD59" s="19"/>
      <c r="AE59" s="19"/>
      <c r="AF59" s="19"/>
      <c r="AG59" s="19"/>
      <c r="AH59" s="19"/>
      <c r="AI59" s="19"/>
      <c r="AJ59" s="19"/>
      <c r="AL59" s="19"/>
      <c r="AM59" s="19"/>
      <c r="AN59" s="19"/>
    </row>
    <row r="60" customHeight="1" spans="13:40">
      <c r="M60" s="19"/>
      <c r="N60" s="19"/>
      <c r="O60" s="19"/>
      <c r="P60" s="19"/>
      <c r="Q60" s="19"/>
      <c r="R60" s="19"/>
      <c r="S60" s="19"/>
      <c r="T60" s="19"/>
      <c r="V60" s="19"/>
      <c r="W60" s="19"/>
      <c r="X60" s="19"/>
      <c r="Y60" s="19"/>
      <c r="Z60" s="19"/>
      <c r="AA60" s="19"/>
      <c r="AB60" s="19"/>
      <c r="AD60" s="19"/>
      <c r="AE60" s="19"/>
      <c r="AF60" s="19"/>
      <c r="AG60" s="19"/>
      <c r="AH60" s="19"/>
      <c r="AI60" s="19"/>
      <c r="AJ60" s="19"/>
      <c r="AL60" s="19"/>
      <c r="AM60" s="19"/>
      <c r="AN60" s="19"/>
    </row>
    <row r="61" customHeight="1" spans="13:40">
      <c r="M61" s="19"/>
      <c r="N61" s="19"/>
      <c r="O61" s="19"/>
      <c r="P61" s="19"/>
      <c r="Q61" s="19"/>
      <c r="R61" s="19"/>
      <c r="S61" s="19"/>
      <c r="T61" s="19"/>
      <c r="V61" s="19"/>
      <c r="W61" s="19"/>
      <c r="X61" s="19"/>
      <c r="Y61" s="19"/>
      <c r="Z61" s="19"/>
      <c r="AA61" s="19"/>
      <c r="AB61" s="19"/>
      <c r="AD61" s="19"/>
      <c r="AE61" s="19"/>
      <c r="AF61" s="19"/>
      <c r="AG61" s="19"/>
      <c r="AH61" s="19"/>
      <c r="AI61" s="19"/>
      <c r="AJ61" s="19"/>
      <c r="AL61" s="19"/>
      <c r="AM61" s="19"/>
      <c r="AN61" s="19"/>
    </row>
    <row r="62" customHeight="1" spans="13:40">
      <c r="M62" s="19"/>
      <c r="N62" s="19"/>
      <c r="O62" s="19"/>
      <c r="P62" s="19"/>
      <c r="Q62" s="19"/>
      <c r="R62" s="19"/>
      <c r="S62" s="19"/>
      <c r="T62" s="19"/>
      <c r="V62" s="19"/>
      <c r="W62" s="19"/>
      <c r="X62" s="19"/>
      <c r="Y62" s="19"/>
      <c r="Z62" s="19"/>
      <c r="AA62" s="19"/>
      <c r="AB62" s="19"/>
      <c r="AD62" s="19"/>
      <c r="AE62" s="19"/>
      <c r="AF62" s="19"/>
      <c r="AG62" s="19"/>
      <c r="AH62" s="19"/>
      <c r="AI62" s="19"/>
      <c r="AJ62" s="19"/>
      <c r="AL62" s="19"/>
      <c r="AM62" s="19"/>
      <c r="AN62" s="19"/>
    </row>
    <row r="63" customHeight="1" spans="13:40">
      <c r="M63" s="19"/>
      <c r="N63" s="19"/>
      <c r="O63" s="19"/>
      <c r="P63" s="19"/>
      <c r="Q63" s="19"/>
      <c r="R63" s="19"/>
      <c r="S63" s="19"/>
      <c r="T63" s="19"/>
      <c r="V63" s="19"/>
      <c r="W63" s="19"/>
      <c r="X63" s="19"/>
      <c r="Y63" s="19"/>
      <c r="Z63" s="19"/>
      <c r="AA63" s="19"/>
      <c r="AB63" s="19"/>
      <c r="AD63" s="19"/>
      <c r="AE63" s="19"/>
      <c r="AF63" s="19"/>
      <c r="AG63" s="19"/>
      <c r="AH63" s="19"/>
      <c r="AI63" s="19"/>
      <c r="AJ63" s="19"/>
      <c r="AL63" s="19"/>
      <c r="AM63" s="19"/>
      <c r="AN63" s="19"/>
    </row>
    <row r="64" customHeight="1" spans="13:40">
      <c r="M64" s="19"/>
      <c r="N64" s="19"/>
      <c r="O64" s="19"/>
      <c r="P64" s="19"/>
      <c r="Q64" s="19"/>
      <c r="R64" s="19"/>
      <c r="S64" s="19"/>
      <c r="T64" s="19"/>
      <c r="V64" s="19"/>
      <c r="W64" s="19"/>
      <c r="X64" s="19"/>
      <c r="Y64" s="19"/>
      <c r="Z64" s="19"/>
      <c r="AA64" s="19"/>
      <c r="AB64" s="19"/>
      <c r="AD64" s="19"/>
      <c r="AE64" s="19"/>
      <c r="AF64" s="19"/>
      <c r="AG64" s="19"/>
      <c r="AH64" s="19"/>
      <c r="AI64" s="19"/>
      <c r="AJ64" s="19"/>
      <c r="AL64" s="19"/>
      <c r="AM64" s="19"/>
      <c r="AN64" s="19"/>
    </row>
    <row r="65" customHeight="1" spans="13:40">
      <c r="M65" s="19"/>
      <c r="N65" s="19"/>
      <c r="O65" s="19"/>
      <c r="P65" s="19"/>
      <c r="Q65" s="19"/>
      <c r="R65" s="19"/>
      <c r="S65" s="19"/>
      <c r="T65" s="19"/>
      <c r="V65" s="19"/>
      <c r="W65" s="19"/>
      <c r="X65" s="19"/>
      <c r="Y65" s="19"/>
      <c r="Z65" s="19"/>
      <c r="AA65" s="19"/>
      <c r="AB65" s="19"/>
      <c r="AD65" s="19"/>
      <c r="AE65" s="19"/>
      <c r="AF65" s="19"/>
      <c r="AG65" s="19"/>
      <c r="AH65" s="19"/>
      <c r="AI65" s="19"/>
      <c r="AJ65" s="19"/>
      <c r="AL65" s="19"/>
      <c r="AM65" s="19"/>
      <c r="AN65" s="19"/>
    </row>
    <row r="66" customHeight="1" spans="13:40">
      <c r="M66" s="19"/>
      <c r="N66" s="19"/>
      <c r="O66" s="19"/>
      <c r="P66" s="19"/>
      <c r="Q66" s="19"/>
      <c r="R66" s="19"/>
      <c r="S66" s="19"/>
      <c r="T66" s="19"/>
      <c r="V66" s="19"/>
      <c r="W66" s="19"/>
      <c r="X66" s="19"/>
      <c r="Y66" s="19"/>
      <c r="Z66" s="19"/>
      <c r="AA66" s="19"/>
      <c r="AB66" s="19"/>
      <c r="AD66" s="19"/>
      <c r="AE66" s="19"/>
      <c r="AF66" s="19"/>
      <c r="AG66" s="19"/>
      <c r="AH66" s="19"/>
      <c r="AI66" s="19"/>
      <c r="AJ66" s="19"/>
      <c r="AL66" s="19"/>
      <c r="AM66" s="19"/>
      <c r="AN66" s="19"/>
    </row>
    <row r="67" customHeight="1" spans="13:40">
      <c r="M67" s="19"/>
      <c r="N67" s="19"/>
      <c r="O67" s="19"/>
      <c r="P67" s="19"/>
      <c r="Q67" s="19"/>
      <c r="R67" s="19"/>
      <c r="S67" s="19"/>
      <c r="T67" s="19"/>
      <c r="V67" s="19"/>
      <c r="W67" s="19"/>
      <c r="X67" s="19"/>
      <c r="Y67" s="19"/>
      <c r="Z67" s="19"/>
      <c r="AA67" s="19"/>
      <c r="AB67" s="19"/>
      <c r="AD67" s="19"/>
      <c r="AE67" s="19"/>
      <c r="AF67" s="19"/>
      <c r="AG67" s="19"/>
      <c r="AH67" s="19"/>
      <c r="AI67" s="19"/>
      <c r="AJ67" s="19"/>
      <c r="AL67" s="19"/>
      <c r="AM67" s="19"/>
      <c r="AN67" s="19"/>
    </row>
    <row r="68" customHeight="1" spans="13:40">
      <c r="M68" s="19"/>
      <c r="N68" s="19"/>
      <c r="O68" s="19"/>
      <c r="P68" s="19"/>
      <c r="Q68" s="19"/>
      <c r="R68" s="19"/>
      <c r="S68" s="19"/>
      <c r="T68" s="19"/>
      <c r="V68" s="19"/>
      <c r="W68" s="19"/>
      <c r="X68" s="19"/>
      <c r="Y68" s="19"/>
      <c r="Z68" s="19"/>
      <c r="AA68" s="19"/>
      <c r="AB68" s="19"/>
      <c r="AD68" s="19"/>
      <c r="AE68" s="19"/>
      <c r="AF68" s="19"/>
      <c r="AG68" s="19"/>
      <c r="AH68" s="19"/>
      <c r="AI68" s="19"/>
      <c r="AJ68" s="19"/>
      <c r="AL68" s="19"/>
      <c r="AM68" s="19"/>
      <c r="AN68" s="19"/>
    </row>
    <row r="69" customHeight="1" spans="13:40">
      <c r="M69" s="19"/>
      <c r="N69" s="19"/>
      <c r="O69" s="19"/>
      <c r="P69" s="19"/>
      <c r="Q69" s="19"/>
      <c r="R69" s="19"/>
      <c r="S69" s="19"/>
      <c r="T69" s="19"/>
      <c r="V69" s="19"/>
      <c r="W69" s="19"/>
      <c r="X69" s="19"/>
      <c r="Y69" s="19"/>
      <c r="Z69" s="19"/>
      <c r="AA69" s="19"/>
      <c r="AB69" s="19"/>
      <c r="AD69" s="19"/>
      <c r="AE69" s="19"/>
      <c r="AF69" s="19"/>
      <c r="AG69" s="19"/>
      <c r="AH69" s="19"/>
      <c r="AI69" s="19"/>
      <c r="AJ69" s="19"/>
      <c r="AL69" s="19"/>
      <c r="AM69" s="19"/>
      <c r="AN69" s="19"/>
    </row>
    <row r="70" customHeight="1" spans="13:40">
      <c r="M70" s="19"/>
      <c r="N70" s="19"/>
      <c r="O70" s="19"/>
      <c r="P70" s="19"/>
      <c r="Q70" s="19"/>
      <c r="R70" s="19"/>
      <c r="S70" s="19"/>
      <c r="T70" s="19"/>
      <c r="V70" s="19"/>
      <c r="W70" s="19"/>
      <c r="X70" s="19"/>
      <c r="Y70" s="19"/>
      <c r="Z70" s="19"/>
      <c r="AA70" s="19"/>
      <c r="AB70" s="19"/>
      <c r="AD70" s="19"/>
      <c r="AE70" s="19"/>
      <c r="AF70" s="19"/>
      <c r="AG70" s="19"/>
      <c r="AH70" s="19"/>
      <c r="AI70" s="19"/>
      <c r="AJ70" s="19"/>
      <c r="AL70" s="19"/>
      <c r="AM70" s="19"/>
      <c r="AN70" s="19"/>
    </row>
    <row r="71" customHeight="1" spans="13:40">
      <c r="M71" s="19"/>
      <c r="N71" s="19"/>
      <c r="O71" s="19"/>
      <c r="P71" s="19"/>
      <c r="Q71" s="19"/>
      <c r="R71" s="19"/>
      <c r="S71" s="19"/>
      <c r="T71" s="19"/>
      <c r="V71" s="19"/>
      <c r="W71" s="19"/>
      <c r="X71" s="19"/>
      <c r="Y71" s="19"/>
      <c r="Z71" s="19"/>
      <c r="AA71" s="19"/>
      <c r="AB71" s="19"/>
      <c r="AD71" s="19"/>
      <c r="AE71" s="19"/>
      <c r="AF71" s="19"/>
      <c r="AG71" s="19"/>
      <c r="AH71" s="19"/>
      <c r="AI71" s="19"/>
      <c r="AJ71" s="19"/>
      <c r="AL71" s="19"/>
      <c r="AM71" s="19"/>
      <c r="AN71" s="19"/>
    </row>
    <row r="72" customHeight="1" spans="13:40">
      <c r="M72" s="19"/>
      <c r="N72" s="19"/>
      <c r="O72" s="19"/>
      <c r="P72" s="19"/>
      <c r="Q72" s="19"/>
      <c r="R72" s="19"/>
      <c r="S72" s="19"/>
      <c r="T72" s="19"/>
      <c r="V72" s="19"/>
      <c r="W72" s="19"/>
      <c r="X72" s="19"/>
      <c r="Y72" s="19"/>
      <c r="Z72" s="19"/>
      <c r="AA72" s="19"/>
      <c r="AB72" s="19"/>
      <c r="AD72" s="19"/>
      <c r="AE72" s="19"/>
      <c r="AF72" s="19"/>
      <c r="AG72" s="19"/>
      <c r="AH72" s="19"/>
      <c r="AI72" s="19"/>
      <c r="AJ72" s="19"/>
      <c r="AL72" s="19"/>
      <c r="AM72" s="19"/>
      <c r="AN72" s="19"/>
    </row>
    <row r="73" customHeight="1" spans="13:40">
      <c r="M73" s="19"/>
      <c r="N73" s="19"/>
      <c r="O73" s="19"/>
      <c r="P73" s="19"/>
      <c r="Q73" s="19"/>
      <c r="R73" s="19"/>
      <c r="S73" s="19"/>
      <c r="T73" s="19"/>
      <c r="V73" s="19"/>
      <c r="W73" s="19"/>
      <c r="X73" s="19"/>
      <c r="Y73" s="19"/>
      <c r="Z73" s="19"/>
      <c r="AA73" s="19"/>
      <c r="AB73" s="19"/>
      <c r="AD73" s="19"/>
      <c r="AE73" s="19"/>
      <c r="AF73" s="19"/>
      <c r="AG73" s="19"/>
      <c r="AH73" s="19"/>
      <c r="AI73" s="19"/>
      <c r="AJ73" s="19"/>
      <c r="AL73" s="19"/>
      <c r="AM73" s="19"/>
      <c r="AN73" s="19"/>
    </row>
    <row r="74" customHeight="1" spans="13:40">
      <c r="M74" s="19"/>
      <c r="N74" s="19"/>
      <c r="O74" s="19"/>
      <c r="P74" s="19"/>
      <c r="Q74" s="19"/>
      <c r="R74" s="19"/>
      <c r="S74" s="19"/>
      <c r="T74" s="19"/>
      <c r="V74" s="19"/>
      <c r="W74" s="19"/>
      <c r="X74" s="19"/>
      <c r="Y74" s="19"/>
      <c r="Z74" s="19"/>
      <c r="AA74" s="19"/>
      <c r="AB74" s="19"/>
      <c r="AD74" s="19"/>
      <c r="AE74" s="19"/>
      <c r="AF74" s="19"/>
      <c r="AG74" s="19"/>
      <c r="AH74" s="19"/>
      <c r="AI74" s="19"/>
      <c r="AJ74" s="19"/>
      <c r="AL74" s="19"/>
      <c r="AM74" s="19"/>
      <c r="AN74" s="19"/>
    </row>
    <row r="75" customHeight="1" spans="13:40">
      <c r="M75" s="19"/>
      <c r="N75" s="19"/>
      <c r="O75" s="19"/>
      <c r="P75" s="19"/>
      <c r="Q75" s="19"/>
      <c r="R75" s="19"/>
      <c r="S75" s="19"/>
      <c r="T75" s="19"/>
      <c r="V75" s="19"/>
      <c r="W75" s="19"/>
      <c r="X75" s="19"/>
      <c r="Y75" s="19"/>
      <c r="Z75" s="19"/>
      <c r="AA75" s="19"/>
      <c r="AB75" s="19"/>
      <c r="AD75" s="19"/>
      <c r="AE75" s="19"/>
      <c r="AF75" s="19"/>
      <c r="AG75" s="19"/>
      <c r="AH75" s="19"/>
      <c r="AI75" s="19"/>
      <c r="AJ75" s="19"/>
      <c r="AL75" s="19"/>
      <c r="AM75" s="19"/>
      <c r="AN75" s="19"/>
    </row>
    <row r="76" customHeight="1" spans="13:40">
      <c r="M76" s="19"/>
      <c r="N76" s="19"/>
      <c r="O76" s="19"/>
      <c r="P76" s="19"/>
      <c r="Q76" s="19"/>
      <c r="R76" s="19"/>
      <c r="S76" s="19"/>
      <c r="T76" s="19"/>
      <c r="V76" s="19"/>
      <c r="W76" s="19"/>
      <c r="X76" s="19"/>
      <c r="Y76" s="19"/>
      <c r="Z76" s="19"/>
      <c r="AA76" s="19"/>
      <c r="AB76" s="19"/>
      <c r="AD76" s="19"/>
      <c r="AE76" s="19"/>
      <c r="AF76" s="19"/>
      <c r="AG76" s="19"/>
      <c r="AH76" s="19"/>
      <c r="AI76" s="19"/>
      <c r="AJ76" s="19"/>
      <c r="AL76" s="19"/>
      <c r="AM76" s="19"/>
      <c r="AN76" s="19"/>
    </row>
    <row r="77" customHeight="1" spans="13:40">
      <c r="M77" s="19"/>
      <c r="N77" s="19"/>
      <c r="O77" s="19"/>
      <c r="P77" s="19"/>
      <c r="Q77" s="19"/>
      <c r="R77" s="19"/>
      <c r="S77" s="19"/>
      <c r="T77" s="19"/>
      <c r="V77" s="19"/>
      <c r="W77" s="19"/>
      <c r="X77" s="19"/>
      <c r="Y77" s="19"/>
      <c r="Z77" s="19"/>
      <c r="AA77" s="19"/>
      <c r="AB77" s="19"/>
      <c r="AD77" s="19"/>
      <c r="AE77" s="19"/>
      <c r="AF77" s="19"/>
      <c r="AG77" s="19"/>
      <c r="AH77" s="19"/>
      <c r="AI77" s="19"/>
      <c r="AJ77" s="19"/>
      <c r="AL77" s="19"/>
      <c r="AM77" s="19"/>
      <c r="AN77" s="19"/>
    </row>
    <row r="78" customHeight="1" spans="13:40">
      <c r="M78" s="19"/>
      <c r="N78" s="19"/>
      <c r="O78" s="19"/>
      <c r="P78" s="19"/>
      <c r="Q78" s="19"/>
      <c r="R78" s="19"/>
      <c r="S78" s="19"/>
      <c r="T78" s="19"/>
      <c r="V78" s="19"/>
      <c r="W78" s="19"/>
      <c r="X78" s="19"/>
      <c r="Y78" s="19"/>
      <c r="Z78" s="19"/>
      <c r="AA78" s="19"/>
      <c r="AB78" s="19"/>
      <c r="AD78" s="19"/>
      <c r="AE78" s="19"/>
      <c r="AF78" s="19"/>
      <c r="AG78" s="19"/>
      <c r="AH78" s="19"/>
      <c r="AI78" s="19"/>
      <c r="AJ78" s="19"/>
      <c r="AL78" s="19"/>
      <c r="AM78" s="19"/>
      <c r="AN78" s="19"/>
    </row>
    <row r="79" customHeight="1" spans="13:40">
      <c r="M79" s="19"/>
      <c r="N79" s="19"/>
      <c r="O79" s="19"/>
      <c r="P79" s="19"/>
      <c r="Q79" s="19"/>
      <c r="R79" s="19"/>
      <c r="S79" s="19"/>
      <c r="T79" s="19"/>
      <c r="V79" s="19"/>
      <c r="W79" s="19"/>
      <c r="X79" s="19"/>
      <c r="Y79" s="19"/>
      <c r="Z79" s="19"/>
      <c r="AA79" s="19"/>
      <c r="AB79" s="19"/>
      <c r="AD79" s="19"/>
      <c r="AE79" s="19"/>
      <c r="AF79" s="19"/>
      <c r="AG79" s="19"/>
      <c r="AH79" s="19"/>
      <c r="AI79" s="19"/>
      <c r="AJ79" s="19"/>
      <c r="AL79" s="19"/>
      <c r="AM79" s="19"/>
      <c r="AN79" s="19"/>
    </row>
    <row r="80" customHeight="1" spans="13:40">
      <c r="M80" s="19"/>
      <c r="N80" s="19"/>
      <c r="O80" s="19"/>
      <c r="P80" s="19"/>
      <c r="Q80" s="19"/>
      <c r="R80" s="19"/>
      <c r="S80" s="19"/>
      <c r="T80" s="19"/>
      <c r="V80" s="19"/>
      <c r="W80" s="19"/>
      <c r="X80" s="19"/>
      <c r="Y80" s="19"/>
      <c r="Z80" s="19"/>
      <c r="AA80" s="19"/>
      <c r="AB80" s="19"/>
      <c r="AD80" s="19"/>
      <c r="AE80" s="19"/>
      <c r="AF80" s="19"/>
      <c r="AG80" s="19"/>
      <c r="AH80" s="19"/>
      <c r="AI80" s="19"/>
      <c r="AJ80" s="19"/>
      <c r="AL80" s="19"/>
      <c r="AM80" s="19"/>
      <c r="AN80" s="19"/>
    </row>
    <row r="81" customHeight="1" spans="13:40">
      <c r="M81" s="19"/>
      <c r="N81" s="19"/>
      <c r="O81" s="19"/>
      <c r="P81" s="19"/>
      <c r="Q81" s="19"/>
      <c r="R81" s="19"/>
      <c r="S81" s="19"/>
      <c r="T81" s="19"/>
      <c r="V81" s="19"/>
      <c r="W81" s="19"/>
      <c r="X81" s="19"/>
      <c r="Y81" s="19"/>
      <c r="Z81" s="19"/>
      <c r="AA81" s="19"/>
      <c r="AB81" s="19"/>
      <c r="AD81" s="19"/>
      <c r="AE81" s="19"/>
      <c r="AF81" s="19"/>
      <c r="AG81" s="19"/>
      <c r="AH81" s="19"/>
      <c r="AI81" s="19"/>
      <c r="AJ81" s="19"/>
      <c r="AL81" s="19"/>
      <c r="AM81" s="19"/>
      <c r="AN81" s="19"/>
    </row>
    <row r="82" customHeight="1" spans="13:40">
      <c r="M82" s="19"/>
      <c r="N82" s="19"/>
      <c r="O82" s="19"/>
      <c r="P82" s="19"/>
      <c r="Q82" s="19"/>
      <c r="R82" s="19"/>
      <c r="S82" s="19"/>
      <c r="T82" s="19"/>
      <c r="V82" s="19"/>
      <c r="W82" s="19"/>
      <c r="X82" s="19"/>
      <c r="Y82" s="19"/>
      <c r="Z82" s="19"/>
      <c r="AA82" s="19"/>
      <c r="AB82" s="19"/>
      <c r="AD82" s="19"/>
      <c r="AE82" s="19"/>
      <c r="AF82" s="19"/>
      <c r="AG82" s="19"/>
      <c r="AH82" s="19"/>
      <c r="AI82" s="19"/>
      <c r="AJ82" s="19"/>
      <c r="AL82" s="19"/>
      <c r="AM82" s="19"/>
      <c r="AN82" s="19"/>
    </row>
    <row r="83" customHeight="1" spans="13:40">
      <c r="M83" s="19"/>
      <c r="N83" s="19"/>
      <c r="O83" s="19"/>
      <c r="P83" s="19"/>
      <c r="Q83" s="19"/>
      <c r="R83" s="19"/>
      <c r="S83" s="19"/>
      <c r="T83" s="19"/>
      <c r="V83" s="19"/>
      <c r="W83" s="19"/>
      <c r="X83" s="19"/>
      <c r="Y83" s="19"/>
      <c r="Z83" s="19"/>
      <c r="AA83" s="19"/>
      <c r="AB83" s="19"/>
      <c r="AD83" s="19"/>
      <c r="AE83" s="19"/>
      <c r="AF83" s="19"/>
      <c r="AG83" s="19"/>
      <c r="AH83" s="19"/>
      <c r="AI83" s="19"/>
      <c r="AJ83" s="19"/>
      <c r="AL83" s="19"/>
      <c r="AM83" s="19"/>
      <c r="AN83" s="19"/>
    </row>
    <row r="84" customHeight="1" spans="13:40">
      <c r="M84" s="19"/>
      <c r="N84" s="19"/>
      <c r="O84" s="19"/>
      <c r="P84" s="19"/>
      <c r="Q84" s="19"/>
      <c r="R84" s="19"/>
      <c r="S84" s="19"/>
      <c r="T84" s="19"/>
      <c r="V84" s="19"/>
      <c r="W84" s="19"/>
      <c r="X84" s="19"/>
      <c r="Y84" s="19"/>
      <c r="Z84" s="19"/>
      <c r="AA84" s="19"/>
      <c r="AB84" s="19"/>
      <c r="AD84" s="19"/>
      <c r="AE84" s="19"/>
      <c r="AF84" s="19"/>
      <c r="AG84" s="19"/>
      <c r="AH84" s="19"/>
      <c r="AI84" s="19"/>
      <c r="AJ84" s="19"/>
      <c r="AL84" s="19"/>
      <c r="AM84" s="19"/>
      <c r="AN84" s="19"/>
    </row>
    <row r="85" customHeight="1" spans="13:40">
      <c r="M85" s="19"/>
      <c r="N85" s="19"/>
      <c r="O85" s="19"/>
      <c r="P85" s="19"/>
      <c r="Q85" s="19"/>
      <c r="R85" s="19"/>
      <c r="S85" s="19"/>
      <c r="T85" s="19"/>
      <c r="V85" s="19"/>
      <c r="W85" s="19"/>
      <c r="X85" s="19"/>
      <c r="Y85" s="19"/>
      <c r="Z85" s="19"/>
      <c r="AA85" s="19"/>
      <c r="AB85" s="19"/>
      <c r="AD85" s="19"/>
      <c r="AE85" s="19"/>
      <c r="AF85" s="19"/>
      <c r="AG85" s="19"/>
      <c r="AH85" s="19"/>
      <c r="AI85" s="19"/>
      <c r="AJ85" s="19"/>
      <c r="AL85" s="19"/>
      <c r="AM85" s="19"/>
      <c r="AN85" s="19"/>
    </row>
    <row r="86" customHeight="1" spans="13:40">
      <c r="M86" s="19"/>
      <c r="N86" s="19"/>
      <c r="O86" s="19"/>
      <c r="P86" s="19"/>
      <c r="Q86" s="19"/>
      <c r="R86" s="19"/>
      <c r="S86" s="19"/>
      <c r="T86" s="19"/>
      <c r="V86" s="19"/>
      <c r="W86" s="19"/>
      <c r="X86" s="19"/>
      <c r="Y86" s="19"/>
      <c r="Z86" s="19"/>
      <c r="AA86" s="19"/>
      <c r="AB86" s="19"/>
      <c r="AD86" s="19"/>
      <c r="AE86" s="19"/>
      <c r="AF86" s="19"/>
      <c r="AG86" s="19"/>
      <c r="AH86" s="19"/>
      <c r="AI86" s="19"/>
      <c r="AJ86" s="19"/>
      <c r="AL86" s="19"/>
      <c r="AM86" s="19"/>
      <c r="AN86" s="19"/>
    </row>
    <row r="87" customHeight="1" spans="13:40">
      <c r="M87" s="19"/>
      <c r="N87" s="19"/>
      <c r="O87" s="19"/>
      <c r="P87" s="19"/>
      <c r="Q87" s="19"/>
      <c r="R87" s="19"/>
      <c r="S87" s="19"/>
      <c r="T87" s="19"/>
      <c r="V87" s="19"/>
      <c r="W87" s="19"/>
      <c r="X87" s="19"/>
      <c r="Y87" s="19"/>
      <c r="Z87" s="19"/>
      <c r="AA87" s="19"/>
      <c r="AB87" s="19"/>
      <c r="AD87" s="19"/>
      <c r="AE87" s="19"/>
      <c r="AF87" s="19"/>
      <c r="AG87" s="19"/>
      <c r="AH87" s="19"/>
      <c r="AI87" s="19"/>
      <c r="AJ87" s="19"/>
      <c r="AL87" s="19"/>
      <c r="AM87" s="19"/>
      <c r="AN87" s="19"/>
    </row>
    <row r="88" customHeight="1" spans="13:40">
      <c r="M88" s="19"/>
      <c r="N88" s="19"/>
      <c r="O88" s="19"/>
      <c r="P88" s="19"/>
      <c r="Q88" s="19"/>
      <c r="R88" s="19"/>
      <c r="S88" s="19"/>
      <c r="T88" s="19"/>
      <c r="V88" s="19"/>
      <c r="W88" s="19"/>
      <c r="X88" s="19"/>
      <c r="Y88" s="19"/>
      <c r="Z88" s="19"/>
      <c r="AA88" s="19"/>
      <c r="AB88" s="19"/>
      <c r="AD88" s="19"/>
      <c r="AE88" s="19"/>
      <c r="AF88" s="19"/>
      <c r="AG88" s="19"/>
      <c r="AH88" s="19"/>
      <c r="AI88" s="19"/>
      <c r="AJ88" s="19"/>
      <c r="AL88" s="19"/>
      <c r="AM88" s="19"/>
      <c r="AN88" s="19"/>
    </row>
    <row r="89" customHeight="1" spans="13:40">
      <c r="M89" s="19"/>
      <c r="N89" s="19"/>
      <c r="O89" s="19"/>
      <c r="P89" s="19"/>
      <c r="Q89" s="19"/>
      <c r="R89" s="19"/>
      <c r="S89" s="19"/>
      <c r="T89" s="19"/>
      <c r="V89" s="19"/>
      <c r="W89" s="19"/>
      <c r="X89" s="19"/>
      <c r="Y89" s="19"/>
      <c r="Z89" s="19"/>
      <c r="AA89" s="19"/>
      <c r="AB89" s="19"/>
      <c r="AD89" s="19"/>
      <c r="AE89" s="19"/>
      <c r="AF89" s="19"/>
      <c r="AG89" s="19"/>
      <c r="AH89" s="19"/>
      <c r="AI89" s="19"/>
      <c r="AJ89" s="19"/>
      <c r="AL89" s="19"/>
      <c r="AM89" s="19"/>
      <c r="AN89" s="19"/>
    </row>
    <row r="90" customHeight="1" spans="13:40">
      <c r="M90" s="19"/>
      <c r="N90" s="19"/>
      <c r="O90" s="19"/>
      <c r="P90" s="19"/>
      <c r="Q90" s="19"/>
      <c r="R90" s="19"/>
      <c r="S90" s="19"/>
      <c r="T90" s="19"/>
      <c r="V90" s="19"/>
      <c r="W90" s="19"/>
      <c r="X90" s="19"/>
      <c r="Y90" s="19"/>
      <c r="Z90" s="19"/>
      <c r="AA90" s="19"/>
      <c r="AB90" s="19"/>
      <c r="AD90" s="19"/>
      <c r="AE90" s="19"/>
      <c r="AF90" s="19"/>
      <c r="AG90" s="19"/>
      <c r="AH90" s="19"/>
      <c r="AI90" s="19"/>
      <c r="AJ90" s="19"/>
      <c r="AL90" s="19"/>
      <c r="AM90" s="19"/>
      <c r="AN90" s="19"/>
    </row>
    <row r="91" customHeight="1" spans="13:40">
      <c r="M91" s="19"/>
      <c r="N91" s="19"/>
      <c r="O91" s="19"/>
      <c r="P91" s="19"/>
      <c r="Q91" s="19"/>
      <c r="R91" s="19"/>
      <c r="S91" s="19"/>
      <c r="T91" s="19"/>
      <c r="V91" s="19"/>
      <c r="W91" s="19"/>
      <c r="X91" s="19"/>
      <c r="Y91" s="19"/>
      <c r="Z91" s="19"/>
      <c r="AA91" s="19"/>
      <c r="AB91" s="19"/>
      <c r="AD91" s="19"/>
      <c r="AE91" s="19"/>
      <c r="AF91" s="19"/>
      <c r="AG91" s="19"/>
      <c r="AH91" s="19"/>
      <c r="AI91" s="19"/>
      <c r="AJ91" s="19"/>
      <c r="AL91" s="19"/>
      <c r="AM91" s="19"/>
      <c r="AN91" s="19"/>
    </row>
    <row r="92" customHeight="1" spans="13:40">
      <c r="M92" s="19"/>
      <c r="N92" s="19"/>
      <c r="O92" s="19"/>
      <c r="P92" s="19"/>
      <c r="Q92" s="19"/>
      <c r="R92" s="19"/>
      <c r="S92" s="19"/>
      <c r="T92" s="19"/>
      <c r="V92" s="19"/>
      <c r="W92" s="19"/>
      <c r="X92" s="19"/>
      <c r="Y92" s="19"/>
      <c r="Z92" s="19"/>
      <c r="AA92" s="19"/>
      <c r="AB92" s="19"/>
      <c r="AD92" s="19"/>
      <c r="AE92" s="19"/>
      <c r="AF92" s="19"/>
      <c r="AG92" s="19"/>
      <c r="AH92" s="19"/>
      <c r="AI92" s="19"/>
      <c r="AJ92" s="19"/>
      <c r="AL92" s="19"/>
      <c r="AM92" s="19"/>
      <c r="AN92" s="19"/>
    </row>
    <row r="93" customHeight="1" spans="13:40">
      <c r="M93" s="19"/>
      <c r="N93" s="19"/>
      <c r="O93" s="19"/>
      <c r="P93" s="19"/>
      <c r="Q93" s="19"/>
      <c r="R93" s="19"/>
      <c r="S93" s="19"/>
      <c r="T93" s="19"/>
      <c r="V93" s="19"/>
      <c r="W93" s="19"/>
      <c r="X93" s="19"/>
      <c r="Y93" s="19"/>
      <c r="Z93" s="19"/>
      <c r="AA93" s="19"/>
      <c r="AB93" s="19"/>
      <c r="AD93" s="19"/>
      <c r="AE93" s="19"/>
      <c r="AF93" s="19"/>
      <c r="AG93" s="19"/>
      <c r="AH93" s="19"/>
      <c r="AI93" s="19"/>
      <c r="AJ93" s="19"/>
      <c r="AL93" s="19"/>
      <c r="AM93" s="19"/>
      <c r="AN93" s="19"/>
    </row>
    <row r="94" customHeight="1" spans="13:40">
      <c r="M94" s="19"/>
      <c r="N94" s="19"/>
      <c r="O94" s="19"/>
      <c r="P94" s="19"/>
      <c r="Q94" s="19"/>
      <c r="R94" s="19"/>
      <c r="S94" s="19"/>
      <c r="T94" s="19"/>
      <c r="V94" s="19"/>
      <c r="W94" s="19"/>
      <c r="X94" s="19"/>
      <c r="Y94" s="19"/>
      <c r="Z94" s="19"/>
      <c r="AA94" s="19"/>
      <c r="AB94" s="19"/>
      <c r="AD94" s="19"/>
      <c r="AE94" s="19"/>
      <c r="AF94" s="19"/>
      <c r="AG94" s="19"/>
      <c r="AH94" s="19"/>
      <c r="AI94" s="19"/>
      <c r="AJ94" s="19"/>
      <c r="AL94" s="19"/>
      <c r="AM94" s="19"/>
      <c r="AN94" s="19"/>
    </row>
    <row r="95" customHeight="1" spans="13:40">
      <c r="M95" s="19"/>
      <c r="N95" s="19"/>
      <c r="O95" s="19"/>
      <c r="P95" s="19"/>
      <c r="Q95" s="19"/>
      <c r="R95" s="19"/>
      <c r="S95" s="19"/>
      <c r="T95" s="19"/>
      <c r="V95" s="19"/>
      <c r="W95" s="19"/>
      <c r="X95" s="19"/>
      <c r="Y95" s="19"/>
      <c r="Z95" s="19"/>
      <c r="AA95" s="19"/>
      <c r="AB95" s="19"/>
      <c r="AD95" s="19"/>
      <c r="AE95" s="19"/>
      <c r="AF95" s="19"/>
      <c r="AG95" s="19"/>
      <c r="AH95" s="19"/>
      <c r="AI95" s="19"/>
      <c r="AJ95" s="19"/>
      <c r="AL95" s="19"/>
      <c r="AM95" s="19"/>
      <c r="AN95" s="19"/>
    </row>
    <row r="96" customHeight="1" spans="13:40">
      <c r="M96" s="19"/>
      <c r="N96" s="19"/>
      <c r="O96" s="19"/>
      <c r="P96" s="19"/>
      <c r="Q96" s="19"/>
      <c r="R96" s="19"/>
      <c r="S96" s="19"/>
      <c r="T96" s="19"/>
      <c r="V96" s="19"/>
      <c r="W96" s="19"/>
      <c r="X96" s="19"/>
      <c r="Y96" s="19"/>
      <c r="Z96" s="19"/>
      <c r="AA96" s="19"/>
      <c r="AB96" s="19"/>
      <c r="AD96" s="19"/>
      <c r="AE96" s="19"/>
      <c r="AF96" s="19"/>
      <c r="AG96" s="19"/>
      <c r="AH96" s="19"/>
      <c r="AI96" s="19"/>
      <c r="AJ96" s="19"/>
      <c r="AL96" s="19"/>
      <c r="AM96" s="19"/>
      <c r="AN96" s="19"/>
    </row>
    <row r="97" customHeight="1" spans="13:40">
      <c r="M97" s="19"/>
      <c r="N97" s="19"/>
      <c r="O97" s="19"/>
      <c r="P97" s="19"/>
      <c r="Q97" s="19"/>
      <c r="R97" s="19"/>
      <c r="S97" s="19"/>
      <c r="T97" s="19"/>
      <c r="V97" s="19"/>
      <c r="W97" s="19"/>
      <c r="X97" s="19"/>
      <c r="Y97" s="19"/>
      <c r="Z97" s="19"/>
      <c r="AA97" s="19"/>
      <c r="AB97" s="19"/>
      <c r="AD97" s="19"/>
      <c r="AE97" s="19"/>
      <c r="AF97" s="19"/>
      <c r="AG97" s="19"/>
      <c r="AH97" s="19"/>
      <c r="AI97" s="19"/>
      <c r="AJ97" s="19"/>
      <c r="AL97" s="19"/>
      <c r="AM97" s="19"/>
      <c r="AN97" s="19"/>
    </row>
    <row r="98" customHeight="1" spans="13:40">
      <c r="M98" s="19"/>
      <c r="N98" s="19"/>
      <c r="O98" s="19"/>
      <c r="P98" s="19"/>
      <c r="Q98" s="19"/>
      <c r="R98" s="19"/>
      <c r="S98" s="19"/>
      <c r="T98" s="19"/>
      <c r="V98" s="19"/>
      <c r="W98" s="19"/>
      <c r="X98" s="19"/>
      <c r="Y98" s="19"/>
      <c r="Z98" s="19"/>
      <c r="AA98" s="19"/>
      <c r="AB98" s="19"/>
      <c r="AD98" s="19"/>
      <c r="AE98" s="19"/>
      <c r="AF98" s="19"/>
      <c r="AG98" s="19"/>
      <c r="AH98" s="19"/>
      <c r="AI98" s="19"/>
      <c r="AJ98" s="19"/>
      <c r="AL98" s="19"/>
      <c r="AM98" s="19"/>
      <c r="AN98" s="19"/>
    </row>
    <row r="99" customHeight="1" spans="13:40">
      <c r="M99" s="19"/>
      <c r="N99" s="19"/>
      <c r="O99" s="19"/>
      <c r="P99" s="19"/>
      <c r="Q99" s="19"/>
      <c r="R99" s="19"/>
      <c r="S99" s="19"/>
      <c r="T99" s="19"/>
      <c r="V99" s="19"/>
      <c r="W99" s="19"/>
      <c r="X99" s="19"/>
      <c r="Y99" s="19"/>
      <c r="Z99" s="19"/>
      <c r="AA99" s="19"/>
      <c r="AB99" s="19"/>
      <c r="AD99" s="19"/>
      <c r="AE99" s="19"/>
      <c r="AF99" s="19"/>
      <c r="AG99" s="19"/>
      <c r="AH99" s="19"/>
      <c r="AI99" s="19"/>
      <c r="AJ99" s="19"/>
      <c r="AL99" s="19"/>
      <c r="AM99" s="19"/>
      <c r="AN99" s="19"/>
    </row>
    <row r="100" customHeight="1" spans="13:40">
      <c r="M100" s="19"/>
      <c r="N100" s="19"/>
      <c r="O100" s="19"/>
      <c r="P100" s="19"/>
      <c r="Q100" s="19"/>
      <c r="R100" s="19"/>
      <c r="S100" s="19"/>
      <c r="T100" s="19"/>
      <c r="V100" s="19"/>
      <c r="W100" s="19"/>
      <c r="X100" s="19"/>
      <c r="Y100" s="19"/>
      <c r="Z100" s="19"/>
      <c r="AA100" s="19"/>
      <c r="AB100" s="19"/>
      <c r="AD100" s="19"/>
      <c r="AE100" s="19"/>
      <c r="AF100" s="19"/>
      <c r="AG100" s="19"/>
      <c r="AH100" s="19"/>
      <c r="AI100" s="19"/>
      <c r="AJ100" s="19"/>
      <c r="AL100" s="19"/>
      <c r="AM100" s="19"/>
      <c r="AN100" s="19"/>
    </row>
    <row r="101" customHeight="1" spans="13:40">
      <c r="M101" s="19"/>
      <c r="N101" s="19"/>
      <c r="O101" s="19"/>
      <c r="P101" s="19"/>
      <c r="Q101" s="19"/>
      <c r="R101" s="19"/>
      <c r="S101" s="19"/>
      <c r="T101" s="19"/>
      <c r="V101" s="19"/>
      <c r="W101" s="19"/>
      <c r="X101" s="19"/>
      <c r="Y101" s="19"/>
      <c r="Z101" s="19"/>
      <c r="AA101" s="19"/>
      <c r="AB101" s="19"/>
      <c r="AD101" s="19"/>
      <c r="AE101" s="19"/>
      <c r="AF101" s="19"/>
      <c r="AG101" s="19"/>
      <c r="AH101" s="19"/>
      <c r="AI101" s="19"/>
      <c r="AJ101" s="19"/>
      <c r="AL101" s="19"/>
      <c r="AM101" s="19"/>
      <c r="AN101" s="19"/>
    </row>
    <row r="102" customHeight="1" spans="13:40">
      <c r="M102" s="19"/>
      <c r="N102" s="19"/>
      <c r="O102" s="19"/>
      <c r="P102" s="19"/>
      <c r="Q102" s="19"/>
      <c r="R102" s="19"/>
      <c r="S102" s="19"/>
      <c r="T102" s="19"/>
      <c r="V102" s="19"/>
      <c r="W102" s="19"/>
      <c r="X102" s="19"/>
      <c r="Y102" s="19"/>
      <c r="Z102" s="19"/>
      <c r="AA102" s="19"/>
      <c r="AB102" s="19"/>
      <c r="AD102" s="19"/>
      <c r="AE102" s="19"/>
      <c r="AF102" s="19"/>
      <c r="AG102" s="19"/>
      <c r="AH102" s="19"/>
      <c r="AI102" s="19"/>
      <c r="AJ102" s="19"/>
      <c r="AL102" s="19"/>
      <c r="AM102" s="19"/>
      <c r="AN102" s="19"/>
    </row>
    <row r="103" customHeight="1" spans="13:40">
      <c r="M103" s="19"/>
      <c r="N103" s="19"/>
      <c r="O103" s="19"/>
      <c r="P103" s="19"/>
      <c r="Q103" s="19"/>
      <c r="R103" s="19"/>
      <c r="S103" s="19"/>
      <c r="T103" s="19"/>
      <c r="V103" s="19"/>
      <c r="W103" s="19"/>
      <c r="X103" s="19"/>
      <c r="Y103" s="19"/>
      <c r="Z103" s="19"/>
      <c r="AA103" s="19"/>
      <c r="AB103" s="19"/>
      <c r="AD103" s="19"/>
      <c r="AE103" s="19"/>
      <c r="AF103" s="19"/>
      <c r="AG103" s="19"/>
      <c r="AH103" s="19"/>
      <c r="AI103" s="19"/>
      <c r="AJ103" s="19"/>
      <c r="AL103" s="19"/>
      <c r="AM103" s="19"/>
      <c r="AN103" s="19"/>
    </row>
    <row r="104" customHeight="1" spans="13:40">
      <c r="M104" s="19"/>
      <c r="N104" s="19"/>
      <c r="O104" s="19"/>
      <c r="P104" s="19"/>
      <c r="Q104" s="19"/>
      <c r="R104" s="19"/>
      <c r="S104" s="19"/>
      <c r="T104" s="19"/>
      <c r="V104" s="19"/>
      <c r="W104" s="19"/>
      <c r="X104" s="19"/>
      <c r="Y104" s="19"/>
      <c r="Z104" s="19"/>
      <c r="AA104" s="19"/>
      <c r="AB104" s="19"/>
      <c r="AD104" s="19"/>
      <c r="AE104" s="19"/>
      <c r="AF104" s="19"/>
      <c r="AG104" s="19"/>
      <c r="AH104" s="19"/>
      <c r="AI104" s="19"/>
      <c r="AJ104" s="19"/>
      <c r="AL104" s="19"/>
      <c r="AM104" s="19"/>
      <c r="AN104" s="19"/>
    </row>
    <row r="105" customHeight="1" spans="13:40">
      <c r="M105" s="19"/>
      <c r="N105" s="19"/>
      <c r="O105" s="19"/>
      <c r="P105" s="19"/>
      <c r="Q105" s="19"/>
      <c r="R105" s="19"/>
      <c r="S105" s="19"/>
      <c r="T105" s="19"/>
      <c r="V105" s="19"/>
      <c r="W105" s="19"/>
      <c r="X105" s="19"/>
      <c r="Y105" s="19"/>
      <c r="Z105" s="19"/>
      <c r="AA105" s="19"/>
      <c r="AB105" s="19"/>
      <c r="AD105" s="19"/>
      <c r="AE105" s="19"/>
      <c r="AF105" s="19"/>
      <c r="AG105" s="19"/>
      <c r="AH105" s="19"/>
      <c r="AI105" s="19"/>
      <c r="AJ105" s="19"/>
      <c r="AL105" s="19"/>
      <c r="AM105" s="19"/>
      <c r="AN105" s="19"/>
    </row>
    <row r="106" customHeight="1" spans="13:40">
      <c r="M106" s="19"/>
      <c r="N106" s="19"/>
      <c r="O106" s="19"/>
      <c r="P106" s="19"/>
      <c r="Q106" s="19"/>
      <c r="R106" s="19"/>
      <c r="S106" s="19"/>
      <c r="T106" s="19"/>
      <c r="V106" s="19"/>
      <c r="W106" s="19"/>
      <c r="X106" s="19"/>
      <c r="Y106" s="19"/>
      <c r="Z106" s="19"/>
      <c r="AA106" s="19"/>
      <c r="AB106" s="19"/>
      <c r="AD106" s="19"/>
      <c r="AE106" s="19"/>
      <c r="AF106" s="19"/>
      <c r="AG106" s="19"/>
      <c r="AH106" s="19"/>
      <c r="AI106" s="19"/>
      <c r="AJ106" s="19"/>
      <c r="AL106" s="19"/>
      <c r="AM106" s="19"/>
      <c r="AN106" s="19"/>
    </row>
    <row r="107" customHeight="1" spans="13:40">
      <c r="M107" s="19"/>
      <c r="N107" s="19"/>
      <c r="O107" s="19"/>
      <c r="P107" s="19"/>
      <c r="Q107" s="19"/>
      <c r="R107" s="19"/>
      <c r="S107" s="19"/>
      <c r="T107" s="19"/>
      <c r="V107" s="19"/>
      <c r="W107" s="19"/>
      <c r="X107" s="19"/>
      <c r="Y107" s="19"/>
      <c r="Z107" s="19"/>
      <c r="AA107" s="19"/>
      <c r="AB107" s="19"/>
      <c r="AD107" s="19"/>
      <c r="AE107" s="19"/>
      <c r="AF107" s="19"/>
      <c r="AG107" s="19"/>
      <c r="AH107" s="19"/>
      <c r="AI107" s="19"/>
      <c r="AJ107" s="19"/>
      <c r="AL107" s="19"/>
      <c r="AM107" s="19"/>
      <c r="AN107" s="19"/>
    </row>
    <row r="108" customHeight="1" spans="13:40">
      <c r="M108" s="19"/>
      <c r="N108" s="19"/>
      <c r="O108" s="19"/>
      <c r="P108" s="19"/>
      <c r="Q108" s="19"/>
      <c r="R108" s="19"/>
      <c r="S108" s="19"/>
      <c r="T108" s="19"/>
      <c r="V108" s="19"/>
      <c r="W108" s="19"/>
      <c r="X108" s="19"/>
      <c r="Y108" s="19"/>
      <c r="Z108" s="19"/>
      <c r="AA108" s="19"/>
      <c r="AB108" s="19"/>
      <c r="AD108" s="19"/>
      <c r="AE108" s="19"/>
      <c r="AF108" s="19"/>
      <c r="AG108" s="19"/>
      <c r="AH108" s="19"/>
      <c r="AI108" s="19"/>
      <c r="AJ108" s="19"/>
      <c r="AL108" s="19"/>
      <c r="AM108" s="19"/>
      <c r="AN108" s="19"/>
    </row>
    <row r="109" customHeight="1" spans="13:40">
      <c r="M109" s="19"/>
      <c r="N109" s="19"/>
      <c r="O109" s="19"/>
      <c r="P109" s="19"/>
      <c r="Q109" s="19"/>
      <c r="R109" s="19"/>
      <c r="S109" s="19"/>
      <c r="T109" s="19"/>
      <c r="V109" s="19"/>
      <c r="W109" s="19"/>
      <c r="X109" s="19"/>
      <c r="Y109" s="19"/>
      <c r="Z109" s="19"/>
      <c r="AA109" s="19"/>
      <c r="AB109" s="19"/>
      <c r="AD109" s="19"/>
      <c r="AE109" s="19"/>
      <c r="AF109" s="19"/>
      <c r="AG109" s="19"/>
      <c r="AH109" s="19"/>
      <c r="AI109" s="19"/>
      <c r="AJ109" s="19"/>
      <c r="AL109" s="19"/>
      <c r="AM109" s="19"/>
      <c r="AN109" s="19"/>
    </row>
    <row r="110" customHeight="1" spans="13:40">
      <c r="M110" s="19"/>
      <c r="N110" s="19"/>
      <c r="O110" s="19"/>
      <c r="P110" s="19"/>
      <c r="Q110" s="19"/>
      <c r="R110" s="19"/>
      <c r="S110" s="19"/>
      <c r="T110" s="19"/>
      <c r="V110" s="19"/>
      <c r="W110" s="19"/>
      <c r="X110" s="19"/>
      <c r="Y110" s="19"/>
      <c r="Z110" s="19"/>
      <c r="AA110" s="19"/>
      <c r="AB110" s="19"/>
      <c r="AD110" s="19"/>
      <c r="AE110" s="19"/>
      <c r="AF110" s="19"/>
      <c r="AG110" s="19"/>
      <c r="AH110" s="19"/>
      <c r="AI110" s="19"/>
      <c r="AJ110" s="19"/>
      <c r="AL110" s="19"/>
      <c r="AM110" s="19"/>
      <c r="AN110" s="19"/>
    </row>
    <row r="111" customHeight="1" spans="13:40">
      <c r="M111" s="19"/>
      <c r="N111" s="19"/>
      <c r="O111" s="19"/>
      <c r="P111" s="19"/>
      <c r="Q111" s="19"/>
      <c r="R111" s="19"/>
      <c r="S111" s="19"/>
      <c r="T111" s="19"/>
      <c r="V111" s="19"/>
      <c r="W111" s="19"/>
      <c r="X111" s="19"/>
      <c r="Y111" s="19"/>
      <c r="Z111" s="19"/>
      <c r="AA111" s="19"/>
      <c r="AB111" s="19"/>
      <c r="AD111" s="19"/>
      <c r="AE111" s="19"/>
      <c r="AF111" s="19"/>
      <c r="AG111" s="19"/>
      <c r="AH111" s="19"/>
      <c r="AI111" s="19"/>
      <c r="AJ111" s="19"/>
      <c r="AL111" s="19"/>
      <c r="AM111" s="19"/>
      <c r="AN111" s="19"/>
    </row>
    <row r="112" customHeight="1" spans="13:40">
      <c r="M112" s="19"/>
      <c r="N112" s="19"/>
      <c r="O112" s="19"/>
      <c r="P112" s="19"/>
      <c r="Q112" s="19"/>
      <c r="R112" s="19"/>
      <c r="S112" s="19"/>
      <c r="T112" s="19"/>
      <c r="V112" s="19"/>
      <c r="W112" s="19"/>
      <c r="X112" s="19"/>
      <c r="Y112" s="19"/>
      <c r="Z112" s="19"/>
      <c r="AA112" s="19"/>
      <c r="AB112" s="19"/>
      <c r="AD112" s="19"/>
      <c r="AE112" s="19"/>
      <c r="AF112" s="19"/>
      <c r="AG112" s="19"/>
      <c r="AH112" s="19"/>
      <c r="AI112" s="19"/>
      <c r="AJ112" s="19"/>
      <c r="AL112" s="19"/>
      <c r="AM112" s="19"/>
      <c r="AN112" s="19"/>
    </row>
    <row r="113" customHeight="1" spans="14:40">
      <c r="N113" s="19"/>
      <c r="O113" s="19"/>
      <c r="P113" s="19"/>
      <c r="Q113" s="19"/>
      <c r="R113" s="19"/>
      <c r="S113" s="19"/>
      <c r="T113" s="19"/>
      <c r="V113" s="19"/>
      <c r="W113" s="19"/>
      <c r="X113" s="19"/>
      <c r="Y113" s="19"/>
      <c r="Z113" s="19"/>
      <c r="AA113" s="19"/>
      <c r="AB113" s="19"/>
      <c r="AD113" s="19"/>
      <c r="AE113" s="19"/>
      <c r="AF113" s="19"/>
      <c r="AG113" s="19"/>
      <c r="AH113" s="19"/>
      <c r="AI113" s="19"/>
      <c r="AJ113" s="19"/>
      <c r="AL113" s="19"/>
      <c r="AM113" s="19"/>
      <c r="AN113" s="19"/>
    </row>
    <row r="114" customHeight="1" spans="14:40">
      <c r="N114" s="19"/>
      <c r="O114" s="19"/>
      <c r="P114" s="19"/>
      <c r="Q114" s="19"/>
      <c r="R114" s="19"/>
      <c r="S114" s="19"/>
      <c r="T114" s="19"/>
      <c r="V114" s="19"/>
      <c r="W114" s="19"/>
      <c r="X114" s="19"/>
      <c r="Y114" s="19"/>
      <c r="Z114" s="19"/>
      <c r="AA114" s="19"/>
      <c r="AB114" s="19"/>
      <c r="AD114" s="19"/>
      <c r="AE114" s="19"/>
      <c r="AF114" s="19"/>
      <c r="AG114" s="19"/>
      <c r="AH114" s="19"/>
      <c r="AI114" s="19"/>
      <c r="AJ114" s="19"/>
      <c r="AL114" s="19"/>
      <c r="AM114" s="19"/>
      <c r="AN114" s="19"/>
    </row>
    <row r="115" customHeight="1" spans="14:40">
      <c r="N115" s="19"/>
      <c r="O115" s="19"/>
      <c r="P115" s="19"/>
      <c r="Q115" s="19"/>
      <c r="R115" s="19"/>
      <c r="S115" s="19"/>
      <c r="T115" s="19"/>
      <c r="V115" s="19"/>
      <c r="W115" s="19"/>
      <c r="X115" s="19"/>
      <c r="Y115" s="19"/>
      <c r="Z115" s="19"/>
      <c r="AA115" s="19"/>
      <c r="AB115" s="19"/>
      <c r="AD115" s="19"/>
      <c r="AE115" s="19"/>
      <c r="AF115" s="19"/>
      <c r="AG115" s="19"/>
      <c r="AH115" s="19"/>
      <c r="AI115" s="19"/>
      <c r="AJ115" s="19"/>
      <c r="AL115" s="19"/>
      <c r="AM115" s="19"/>
      <c r="AN115" s="19"/>
    </row>
    <row r="116" customHeight="1" spans="14:40">
      <c r="N116" s="19"/>
      <c r="O116" s="19"/>
      <c r="P116" s="19"/>
      <c r="Q116" s="19"/>
      <c r="R116" s="19"/>
      <c r="S116" s="19"/>
      <c r="T116" s="19"/>
      <c r="V116" s="19"/>
      <c r="W116" s="19"/>
      <c r="X116" s="19"/>
      <c r="Y116" s="19"/>
      <c r="Z116" s="19"/>
      <c r="AA116" s="19"/>
      <c r="AB116" s="19"/>
      <c r="AD116" s="19"/>
      <c r="AE116" s="19"/>
      <c r="AF116" s="19"/>
      <c r="AG116" s="19"/>
      <c r="AH116" s="19"/>
      <c r="AI116" s="19"/>
      <c r="AJ116" s="19"/>
      <c r="AL116" s="19"/>
      <c r="AM116" s="19"/>
      <c r="AN116" s="19"/>
    </row>
    <row r="117" customHeight="1" spans="14:40">
      <c r="N117" s="19"/>
      <c r="O117" s="19"/>
      <c r="P117" s="19"/>
      <c r="Q117" s="19"/>
      <c r="R117" s="19"/>
      <c r="S117" s="19"/>
      <c r="T117" s="19"/>
      <c r="V117" s="19"/>
      <c r="W117" s="19"/>
      <c r="X117" s="19"/>
      <c r="Y117" s="19"/>
      <c r="Z117" s="19"/>
      <c r="AA117" s="19"/>
      <c r="AB117" s="19"/>
      <c r="AD117" s="19"/>
      <c r="AE117" s="19"/>
      <c r="AF117" s="19"/>
      <c r="AG117" s="19"/>
      <c r="AH117" s="19"/>
      <c r="AI117" s="19"/>
      <c r="AJ117" s="19"/>
      <c r="AL117" s="19"/>
      <c r="AM117" s="19"/>
      <c r="AN117" s="19"/>
    </row>
    <row r="118" customHeight="1" spans="14:40">
      <c r="N118" s="19"/>
      <c r="O118" s="19"/>
      <c r="P118" s="19"/>
      <c r="Q118" s="19"/>
      <c r="R118" s="19"/>
      <c r="S118" s="19"/>
      <c r="T118" s="19"/>
      <c r="V118" s="19"/>
      <c r="W118" s="19"/>
      <c r="X118" s="19"/>
      <c r="Y118" s="19"/>
      <c r="Z118" s="19"/>
      <c r="AA118" s="19"/>
      <c r="AB118" s="19"/>
      <c r="AD118" s="19"/>
      <c r="AE118" s="19"/>
      <c r="AF118" s="19"/>
      <c r="AG118" s="19"/>
      <c r="AH118" s="19"/>
      <c r="AI118" s="19"/>
      <c r="AJ118" s="19"/>
      <c r="AL118" s="19"/>
      <c r="AM118" s="19"/>
      <c r="AN118" s="19"/>
    </row>
    <row r="119" customHeight="1" spans="14:40">
      <c r="N119" s="19"/>
      <c r="O119" s="19"/>
      <c r="P119" s="19"/>
      <c r="Q119" s="19"/>
      <c r="R119" s="19"/>
      <c r="S119" s="19"/>
      <c r="T119" s="19"/>
      <c r="V119" s="19"/>
      <c r="W119" s="19"/>
      <c r="X119" s="19"/>
      <c r="Y119" s="19"/>
      <c r="Z119" s="19"/>
      <c r="AA119" s="19"/>
      <c r="AB119" s="19"/>
      <c r="AD119" s="19"/>
      <c r="AE119" s="19"/>
      <c r="AF119" s="19"/>
      <c r="AG119" s="19"/>
      <c r="AH119" s="19"/>
      <c r="AI119" s="19"/>
      <c r="AJ119" s="19"/>
      <c r="AL119" s="19"/>
      <c r="AM119" s="19"/>
      <c r="AN119" s="19"/>
    </row>
    <row r="120" customHeight="1" spans="14:40">
      <c r="N120" s="19"/>
      <c r="O120" s="19"/>
      <c r="P120" s="19"/>
      <c r="Q120" s="19"/>
      <c r="R120" s="19"/>
      <c r="S120" s="19"/>
      <c r="T120" s="19"/>
      <c r="V120" s="19"/>
      <c r="W120" s="19"/>
      <c r="X120" s="19"/>
      <c r="Y120" s="19"/>
      <c r="Z120" s="19"/>
      <c r="AA120" s="19"/>
      <c r="AB120" s="19"/>
      <c r="AD120" s="19"/>
      <c r="AE120" s="19"/>
      <c r="AF120" s="19"/>
      <c r="AG120" s="19"/>
      <c r="AH120" s="19"/>
      <c r="AI120" s="19"/>
      <c r="AJ120" s="19"/>
      <c r="AL120" s="19"/>
      <c r="AM120" s="19"/>
      <c r="AN120" s="19"/>
    </row>
    <row r="121" customHeight="1" spans="14:40">
      <c r="N121" s="19"/>
      <c r="O121" s="19"/>
      <c r="P121" s="19"/>
      <c r="Q121" s="19"/>
      <c r="R121" s="19"/>
      <c r="S121" s="19"/>
      <c r="T121" s="19"/>
      <c r="V121" s="19"/>
      <c r="W121" s="19"/>
      <c r="X121" s="19"/>
      <c r="Y121" s="19"/>
      <c r="Z121" s="19"/>
      <c r="AA121" s="19"/>
      <c r="AB121" s="19"/>
      <c r="AD121" s="19"/>
      <c r="AE121" s="19"/>
      <c r="AF121" s="19"/>
      <c r="AG121" s="19"/>
      <c r="AH121" s="19"/>
      <c r="AI121" s="19"/>
      <c r="AJ121" s="19"/>
      <c r="AL121" s="19"/>
      <c r="AM121" s="19"/>
      <c r="AN121" s="19"/>
    </row>
    <row r="122" customHeight="1" spans="14:40">
      <c r="N122" s="19"/>
      <c r="O122" s="19"/>
      <c r="P122" s="19"/>
      <c r="Q122" s="19"/>
      <c r="R122" s="19"/>
      <c r="S122" s="19"/>
      <c r="T122" s="19"/>
      <c r="V122" s="19"/>
      <c r="W122" s="19"/>
      <c r="X122" s="19"/>
      <c r="Y122" s="19"/>
      <c r="Z122" s="19"/>
      <c r="AA122" s="19"/>
      <c r="AB122" s="19"/>
      <c r="AD122" s="19"/>
      <c r="AE122" s="19"/>
      <c r="AF122" s="19"/>
      <c r="AG122" s="19"/>
      <c r="AH122" s="19"/>
      <c r="AI122" s="19"/>
      <c r="AJ122" s="19"/>
      <c r="AL122" s="19"/>
      <c r="AM122" s="19"/>
      <c r="AN122" s="19"/>
    </row>
    <row r="123" customHeight="1" spans="14:40">
      <c r="N123" s="19"/>
      <c r="O123" s="19"/>
      <c r="P123" s="19"/>
      <c r="Q123" s="19"/>
      <c r="R123" s="19"/>
      <c r="S123" s="19"/>
      <c r="T123" s="19"/>
      <c r="V123" s="19"/>
      <c r="W123" s="19"/>
      <c r="X123" s="19"/>
      <c r="Y123" s="19"/>
      <c r="Z123" s="19"/>
      <c r="AA123" s="19"/>
      <c r="AB123" s="19"/>
      <c r="AD123" s="19"/>
      <c r="AE123" s="19"/>
      <c r="AF123" s="19"/>
      <c r="AG123" s="19"/>
      <c r="AH123" s="19"/>
      <c r="AI123" s="19"/>
      <c r="AJ123" s="19"/>
      <c r="AL123" s="19"/>
      <c r="AM123" s="19"/>
      <c r="AN123" s="19"/>
    </row>
    <row r="124" customHeight="1" spans="14:40">
      <c r="N124" s="19"/>
      <c r="O124" s="19"/>
      <c r="P124" s="19"/>
      <c r="Q124" s="19"/>
      <c r="R124" s="19"/>
      <c r="S124" s="19"/>
      <c r="T124" s="19"/>
      <c r="V124" s="19"/>
      <c r="W124" s="19"/>
      <c r="X124" s="19"/>
      <c r="Y124" s="19"/>
      <c r="Z124" s="19"/>
      <c r="AA124" s="19"/>
      <c r="AB124" s="19"/>
      <c r="AD124" s="19"/>
      <c r="AE124" s="19"/>
      <c r="AF124" s="19"/>
      <c r="AG124" s="19"/>
      <c r="AH124" s="19"/>
      <c r="AI124" s="19"/>
      <c r="AJ124" s="19"/>
      <c r="AL124" s="19"/>
      <c r="AM124" s="19"/>
      <c r="AN124" s="19"/>
    </row>
    <row r="125" customHeight="1" spans="14:40">
      <c r="N125" s="19"/>
      <c r="O125" s="19"/>
      <c r="P125" s="19"/>
      <c r="Q125" s="19"/>
      <c r="R125" s="19"/>
      <c r="S125" s="19"/>
      <c r="T125" s="19"/>
      <c r="V125" s="19"/>
      <c r="W125" s="19"/>
      <c r="X125" s="19"/>
      <c r="Y125" s="19"/>
      <c r="Z125" s="19"/>
      <c r="AA125" s="19"/>
      <c r="AB125" s="19"/>
      <c r="AD125" s="19"/>
      <c r="AE125" s="19"/>
      <c r="AF125" s="19"/>
      <c r="AG125" s="19"/>
      <c r="AH125" s="19"/>
      <c r="AI125" s="19"/>
      <c r="AJ125" s="19"/>
      <c r="AL125" s="19"/>
      <c r="AM125" s="19"/>
      <c r="AN125" s="19"/>
    </row>
    <row r="126" customHeight="1" spans="14:40">
      <c r="N126" s="19"/>
      <c r="O126" s="19"/>
      <c r="P126" s="19"/>
      <c r="Q126" s="19"/>
      <c r="R126" s="19"/>
      <c r="S126" s="19"/>
      <c r="T126" s="19"/>
      <c r="V126" s="19"/>
      <c r="W126" s="19"/>
      <c r="X126" s="19"/>
      <c r="Y126" s="19"/>
      <c r="Z126" s="19"/>
      <c r="AA126" s="19"/>
      <c r="AB126" s="19"/>
      <c r="AD126" s="19"/>
      <c r="AE126" s="19"/>
      <c r="AF126" s="19"/>
      <c r="AG126" s="19"/>
      <c r="AH126" s="19"/>
      <c r="AI126" s="19"/>
      <c r="AJ126" s="19"/>
      <c r="AL126" s="19"/>
      <c r="AM126" s="19"/>
      <c r="AN126" s="19"/>
    </row>
    <row r="127" customHeight="1" spans="14:40">
      <c r="N127" s="19"/>
      <c r="O127" s="19"/>
      <c r="P127" s="19"/>
      <c r="Q127" s="19"/>
      <c r="R127" s="19"/>
      <c r="S127" s="19"/>
      <c r="T127" s="19"/>
      <c r="V127" s="19"/>
      <c r="W127" s="19"/>
      <c r="X127" s="19"/>
      <c r="Y127" s="19"/>
      <c r="Z127" s="19"/>
      <c r="AA127" s="19"/>
      <c r="AB127" s="19"/>
      <c r="AD127" s="19"/>
      <c r="AE127" s="19"/>
      <c r="AF127" s="19"/>
      <c r="AG127" s="19"/>
      <c r="AH127" s="19"/>
      <c r="AI127" s="19"/>
      <c r="AJ127" s="19"/>
      <c r="AL127" s="19"/>
      <c r="AM127" s="19"/>
      <c r="AN127" s="19"/>
    </row>
    <row r="128" customHeight="1" spans="14:40">
      <c r="N128" s="19"/>
      <c r="O128" s="19"/>
      <c r="P128" s="19"/>
      <c r="Q128" s="19"/>
      <c r="R128" s="19"/>
      <c r="S128" s="19"/>
      <c r="T128" s="19"/>
      <c r="V128" s="19"/>
      <c r="W128" s="19"/>
      <c r="X128" s="19"/>
      <c r="Y128" s="19"/>
      <c r="Z128" s="19"/>
      <c r="AA128" s="19"/>
      <c r="AB128" s="19"/>
      <c r="AD128" s="19"/>
      <c r="AE128" s="19"/>
      <c r="AF128" s="19"/>
      <c r="AG128" s="19"/>
      <c r="AH128" s="19"/>
      <c r="AI128" s="19"/>
      <c r="AJ128" s="19"/>
      <c r="AL128" s="19"/>
      <c r="AM128" s="19"/>
      <c r="AN128" s="19"/>
    </row>
    <row r="129" customHeight="1" spans="14:40">
      <c r="N129" s="19"/>
      <c r="O129" s="19"/>
      <c r="P129" s="19"/>
      <c r="Q129" s="19"/>
      <c r="R129" s="19"/>
      <c r="S129" s="19"/>
      <c r="T129" s="19"/>
      <c r="V129" s="19"/>
      <c r="W129" s="19"/>
      <c r="X129" s="19"/>
      <c r="Y129" s="19"/>
      <c r="Z129" s="19"/>
      <c r="AA129" s="19"/>
      <c r="AB129" s="19"/>
      <c r="AD129" s="19"/>
      <c r="AE129" s="19"/>
      <c r="AF129" s="19"/>
      <c r="AG129" s="19"/>
      <c r="AH129" s="19"/>
      <c r="AI129" s="19"/>
      <c r="AJ129" s="19"/>
      <c r="AL129" s="19"/>
      <c r="AM129" s="19"/>
      <c r="AN129" s="19"/>
    </row>
    <row r="130" customHeight="1" spans="14:40">
      <c r="N130" s="19"/>
      <c r="O130" s="19"/>
      <c r="P130" s="19"/>
      <c r="Q130" s="19"/>
      <c r="R130" s="19"/>
      <c r="S130" s="19"/>
      <c r="T130" s="19"/>
      <c r="V130" s="19"/>
      <c r="W130" s="19"/>
      <c r="X130" s="19"/>
      <c r="Y130" s="19"/>
      <c r="Z130" s="19"/>
      <c r="AA130" s="19"/>
      <c r="AB130" s="19"/>
      <c r="AD130" s="19"/>
      <c r="AE130" s="19"/>
      <c r="AF130" s="19"/>
      <c r="AG130" s="19"/>
      <c r="AH130" s="19"/>
      <c r="AI130" s="19"/>
      <c r="AJ130" s="19"/>
      <c r="AL130" s="19"/>
      <c r="AM130" s="19"/>
      <c r="AN130" s="19"/>
    </row>
    <row r="131" customHeight="1" spans="14:40">
      <c r="N131" s="19"/>
      <c r="O131" s="19"/>
      <c r="P131" s="19"/>
      <c r="Q131" s="19"/>
      <c r="R131" s="19"/>
      <c r="S131" s="19"/>
      <c r="T131" s="19"/>
      <c r="V131" s="19"/>
      <c r="W131" s="19"/>
      <c r="X131" s="19"/>
      <c r="Y131" s="19"/>
      <c r="Z131" s="19"/>
      <c r="AA131" s="19"/>
      <c r="AB131" s="19"/>
      <c r="AD131" s="19"/>
      <c r="AE131" s="19"/>
      <c r="AF131" s="19"/>
      <c r="AG131" s="19"/>
      <c r="AH131" s="19"/>
      <c r="AI131" s="19"/>
      <c r="AJ131" s="19"/>
      <c r="AL131" s="19"/>
      <c r="AM131" s="19"/>
      <c r="AN131" s="19"/>
    </row>
    <row r="132" customHeight="1" spans="14:40">
      <c r="N132" s="19"/>
      <c r="O132" s="19"/>
      <c r="P132" s="19"/>
      <c r="Q132" s="19"/>
      <c r="R132" s="19"/>
      <c r="S132" s="19"/>
      <c r="T132" s="19"/>
      <c r="V132" s="19"/>
      <c r="W132" s="19"/>
      <c r="X132" s="19"/>
      <c r="Y132" s="19"/>
      <c r="Z132" s="19"/>
      <c r="AA132" s="19"/>
      <c r="AB132" s="19"/>
      <c r="AD132" s="19"/>
      <c r="AE132" s="19"/>
      <c r="AF132" s="19"/>
      <c r="AG132" s="19"/>
      <c r="AH132" s="19"/>
      <c r="AI132" s="19"/>
      <c r="AJ132" s="19"/>
      <c r="AL132" s="19"/>
      <c r="AM132" s="19"/>
      <c r="AN132" s="19"/>
    </row>
    <row r="133" customHeight="1" spans="14:40">
      <c r="N133" s="19"/>
      <c r="O133" s="19"/>
      <c r="P133" s="19"/>
      <c r="Q133" s="19"/>
      <c r="R133" s="19"/>
      <c r="S133" s="19"/>
      <c r="T133" s="19"/>
      <c r="V133" s="19"/>
      <c r="W133" s="19"/>
      <c r="X133" s="19"/>
      <c r="Y133" s="19"/>
      <c r="Z133" s="19"/>
      <c r="AA133" s="19"/>
      <c r="AB133" s="19"/>
      <c r="AD133" s="19"/>
      <c r="AE133" s="19"/>
      <c r="AF133" s="19"/>
      <c r="AG133" s="19"/>
      <c r="AH133" s="19"/>
      <c r="AI133" s="19"/>
      <c r="AJ133" s="19"/>
      <c r="AL133" s="19"/>
      <c r="AM133" s="19"/>
      <c r="AN133" s="19"/>
    </row>
    <row r="134" customHeight="1" spans="14:40">
      <c r="N134" s="19"/>
      <c r="O134" s="19"/>
      <c r="P134" s="19"/>
      <c r="Q134" s="19"/>
      <c r="R134" s="19"/>
      <c r="S134" s="19"/>
      <c r="T134" s="19"/>
      <c r="V134" s="19"/>
      <c r="W134" s="19"/>
      <c r="X134" s="19"/>
      <c r="Y134" s="19"/>
      <c r="Z134" s="19"/>
      <c r="AA134" s="19"/>
      <c r="AB134" s="19"/>
      <c r="AD134" s="19"/>
      <c r="AE134" s="19"/>
      <c r="AF134" s="19"/>
      <c r="AG134" s="19"/>
      <c r="AH134" s="19"/>
      <c r="AI134" s="19"/>
      <c r="AJ134" s="19"/>
      <c r="AL134" s="19"/>
      <c r="AM134" s="19"/>
      <c r="AN134" s="19"/>
    </row>
    <row r="135" customHeight="1" spans="14:40">
      <c r="N135" s="19"/>
      <c r="O135" s="19"/>
      <c r="P135" s="19"/>
      <c r="Q135" s="19"/>
      <c r="R135" s="19"/>
      <c r="S135" s="19"/>
      <c r="T135" s="19"/>
      <c r="V135" s="19"/>
      <c r="W135" s="19"/>
      <c r="X135" s="19"/>
      <c r="Y135" s="19"/>
      <c r="Z135" s="19"/>
      <c r="AA135" s="19"/>
      <c r="AB135" s="19"/>
      <c r="AD135" s="19"/>
      <c r="AE135" s="19"/>
      <c r="AF135" s="19"/>
      <c r="AG135" s="19"/>
      <c r="AH135" s="19"/>
      <c r="AI135" s="19"/>
      <c r="AJ135" s="19"/>
      <c r="AL135" s="19"/>
      <c r="AM135" s="19"/>
      <c r="AN135" s="19"/>
    </row>
    <row r="136" customHeight="1" spans="14:40">
      <c r="N136" s="19"/>
      <c r="O136" s="19"/>
      <c r="P136" s="19"/>
      <c r="Q136" s="19"/>
      <c r="R136" s="19"/>
      <c r="S136" s="19"/>
      <c r="T136" s="19"/>
      <c r="V136" s="19"/>
      <c r="W136" s="19"/>
      <c r="X136" s="19"/>
      <c r="Y136" s="19"/>
      <c r="Z136" s="19"/>
      <c r="AA136" s="19"/>
      <c r="AB136" s="19"/>
      <c r="AD136" s="19"/>
      <c r="AE136" s="19"/>
      <c r="AF136" s="19"/>
      <c r="AG136" s="19"/>
      <c r="AH136" s="19"/>
      <c r="AI136" s="19"/>
      <c r="AJ136" s="19"/>
      <c r="AL136" s="19"/>
      <c r="AM136" s="19"/>
      <c r="AN136" s="19"/>
    </row>
    <row r="137" customHeight="1" spans="14:40">
      <c r="N137" s="19"/>
      <c r="O137" s="19"/>
      <c r="P137" s="19"/>
      <c r="Q137" s="19"/>
      <c r="R137" s="19"/>
      <c r="S137" s="19"/>
      <c r="T137" s="19"/>
      <c r="V137" s="19"/>
      <c r="W137" s="19"/>
      <c r="X137" s="19"/>
      <c r="Y137" s="19"/>
      <c r="Z137" s="19"/>
      <c r="AA137" s="19"/>
      <c r="AB137" s="19"/>
      <c r="AD137" s="19"/>
      <c r="AE137" s="19"/>
      <c r="AF137" s="19"/>
      <c r="AG137" s="19"/>
      <c r="AH137" s="19"/>
      <c r="AI137" s="19"/>
      <c r="AJ137" s="19"/>
      <c r="AL137" s="19"/>
      <c r="AM137" s="19"/>
      <c r="AN137" s="19"/>
    </row>
    <row r="138" customHeight="1" spans="14:40">
      <c r="N138" s="19"/>
      <c r="O138" s="19"/>
      <c r="P138" s="19"/>
      <c r="Q138" s="19"/>
      <c r="R138" s="19"/>
      <c r="S138" s="19"/>
      <c r="T138" s="19"/>
      <c r="V138" s="19"/>
      <c r="W138" s="19"/>
      <c r="X138" s="19"/>
      <c r="Y138" s="19"/>
      <c r="Z138" s="19"/>
      <c r="AA138" s="19"/>
      <c r="AB138" s="19"/>
      <c r="AD138" s="19"/>
      <c r="AE138" s="19"/>
      <c r="AF138" s="19"/>
      <c r="AG138" s="19"/>
      <c r="AH138" s="19"/>
      <c r="AI138" s="19"/>
      <c r="AJ138" s="19"/>
      <c r="AL138" s="19"/>
      <c r="AM138" s="19"/>
      <c r="AN138" s="19"/>
    </row>
    <row r="139" customHeight="1" spans="14:40">
      <c r="N139" s="19"/>
      <c r="O139" s="19"/>
      <c r="P139" s="19"/>
      <c r="Q139" s="19"/>
      <c r="R139" s="19"/>
      <c r="S139" s="19"/>
      <c r="T139" s="19"/>
      <c r="V139" s="19"/>
      <c r="W139" s="19"/>
      <c r="X139" s="19"/>
      <c r="Y139" s="19"/>
      <c r="Z139" s="19"/>
      <c r="AA139" s="19"/>
      <c r="AB139" s="19"/>
      <c r="AD139" s="19"/>
      <c r="AE139" s="19"/>
      <c r="AF139" s="19"/>
      <c r="AG139" s="19"/>
      <c r="AH139" s="19"/>
      <c r="AI139" s="19"/>
      <c r="AJ139" s="19"/>
      <c r="AL139" s="19"/>
      <c r="AM139" s="19"/>
      <c r="AN139" s="19"/>
    </row>
    <row r="140" customHeight="1" spans="14:40">
      <c r="N140" s="19"/>
      <c r="O140" s="19"/>
      <c r="P140" s="19"/>
      <c r="Q140" s="19"/>
      <c r="R140" s="19"/>
      <c r="S140" s="19"/>
      <c r="T140" s="19"/>
      <c r="V140" s="19"/>
      <c r="W140" s="19"/>
      <c r="X140" s="19"/>
      <c r="Y140" s="19"/>
      <c r="Z140" s="19"/>
      <c r="AA140" s="19"/>
      <c r="AB140" s="19"/>
      <c r="AD140" s="19"/>
      <c r="AE140" s="19"/>
      <c r="AF140" s="19"/>
      <c r="AG140" s="19"/>
      <c r="AH140" s="19"/>
      <c r="AI140" s="19"/>
      <c r="AJ140" s="19"/>
      <c r="AL140" s="19"/>
      <c r="AM140" s="19"/>
      <c r="AN140" s="19"/>
    </row>
    <row r="141" customHeight="1" spans="14:40">
      <c r="N141" s="19"/>
      <c r="O141" s="19"/>
      <c r="P141" s="19"/>
      <c r="Q141" s="19"/>
      <c r="R141" s="19"/>
      <c r="S141" s="19"/>
      <c r="T141" s="19"/>
      <c r="V141" s="19"/>
      <c r="W141" s="19"/>
      <c r="X141" s="19"/>
      <c r="Y141" s="19"/>
      <c r="Z141" s="19"/>
      <c r="AA141" s="19"/>
      <c r="AB141" s="19"/>
      <c r="AD141" s="19"/>
      <c r="AE141" s="19"/>
      <c r="AF141" s="19"/>
      <c r="AG141" s="19"/>
      <c r="AH141" s="19"/>
      <c r="AI141" s="19"/>
      <c r="AJ141" s="19"/>
      <c r="AL141" s="19"/>
      <c r="AM141" s="19"/>
      <c r="AN141" s="19"/>
    </row>
    <row r="142" customHeight="1" spans="14:40">
      <c r="N142" s="19"/>
      <c r="O142" s="19"/>
      <c r="P142" s="19"/>
      <c r="Q142" s="19"/>
      <c r="R142" s="19"/>
      <c r="S142" s="19"/>
      <c r="T142" s="19"/>
      <c r="V142" s="19"/>
      <c r="W142" s="19"/>
      <c r="X142" s="19"/>
      <c r="Y142" s="19"/>
      <c r="Z142" s="19"/>
      <c r="AA142" s="19"/>
      <c r="AB142" s="19"/>
      <c r="AD142" s="19"/>
      <c r="AE142" s="19"/>
      <c r="AF142" s="19"/>
      <c r="AG142" s="19"/>
      <c r="AH142" s="19"/>
      <c r="AI142" s="19"/>
      <c r="AJ142" s="19"/>
      <c r="AL142" s="19"/>
      <c r="AM142" s="19"/>
      <c r="AN142" s="19"/>
    </row>
    <row r="143" customHeight="1" spans="14:40">
      <c r="N143" s="19"/>
      <c r="O143" s="19"/>
      <c r="P143" s="19"/>
      <c r="Q143" s="19"/>
      <c r="R143" s="19"/>
      <c r="S143" s="19"/>
      <c r="T143" s="19"/>
      <c r="V143" s="19"/>
      <c r="W143" s="19"/>
      <c r="X143" s="19"/>
      <c r="Y143" s="19"/>
      <c r="Z143" s="19"/>
      <c r="AA143" s="19"/>
      <c r="AB143" s="19"/>
      <c r="AD143" s="19"/>
      <c r="AE143" s="19"/>
      <c r="AF143" s="19"/>
      <c r="AG143" s="19"/>
      <c r="AH143" s="19"/>
      <c r="AI143" s="19"/>
      <c r="AJ143" s="19"/>
      <c r="AL143" s="19"/>
      <c r="AM143" s="19"/>
      <c r="AN143" s="19"/>
    </row>
    <row r="144" customHeight="1" spans="14:40">
      <c r="N144" s="19"/>
      <c r="O144" s="19"/>
      <c r="P144" s="19"/>
      <c r="Q144" s="19"/>
      <c r="R144" s="19"/>
      <c r="S144" s="19"/>
      <c r="T144" s="19"/>
      <c r="V144" s="19"/>
      <c r="W144" s="19"/>
      <c r="X144" s="19"/>
      <c r="Y144" s="19"/>
      <c r="Z144" s="19"/>
      <c r="AA144" s="19"/>
      <c r="AB144" s="19"/>
      <c r="AD144" s="19"/>
      <c r="AE144" s="19"/>
      <c r="AF144" s="19"/>
      <c r="AG144" s="19"/>
      <c r="AH144" s="19"/>
      <c r="AI144" s="19"/>
      <c r="AJ144" s="19"/>
      <c r="AL144" s="19"/>
      <c r="AM144" s="19"/>
      <c r="AN144" s="19"/>
    </row>
    <row r="145" customHeight="1" spans="14:40">
      <c r="N145" s="19"/>
      <c r="O145" s="19"/>
      <c r="P145" s="19"/>
      <c r="Q145" s="19"/>
      <c r="R145" s="19"/>
      <c r="S145" s="19"/>
      <c r="T145" s="19"/>
      <c r="V145" s="19"/>
      <c r="W145" s="19"/>
      <c r="X145" s="19"/>
      <c r="Y145" s="19"/>
      <c r="Z145" s="19"/>
      <c r="AA145" s="19"/>
      <c r="AB145" s="19"/>
      <c r="AD145" s="19"/>
      <c r="AE145" s="19"/>
      <c r="AF145" s="19"/>
      <c r="AG145" s="19"/>
      <c r="AH145" s="19"/>
      <c r="AI145" s="19"/>
      <c r="AJ145" s="19"/>
      <c r="AL145" s="19"/>
      <c r="AM145" s="19"/>
      <c r="AN145" s="19"/>
    </row>
    <row r="146" customHeight="1" spans="14:40">
      <c r="N146" s="19"/>
      <c r="O146" s="19"/>
      <c r="P146" s="19"/>
      <c r="Q146" s="19"/>
      <c r="R146" s="19"/>
      <c r="S146" s="19"/>
      <c r="T146" s="19"/>
      <c r="V146" s="19"/>
      <c r="W146" s="19"/>
      <c r="X146" s="19"/>
      <c r="Y146" s="19"/>
      <c r="Z146" s="19"/>
      <c r="AA146" s="19"/>
      <c r="AB146" s="19"/>
      <c r="AD146" s="19"/>
      <c r="AE146" s="19"/>
      <c r="AF146" s="19"/>
      <c r="AG146" s="19"/>
      <c r="AH146" s="19"/>
      <c r="AI146" s="19"/>
      <c r="AJ146" s="19"/>
      <c r="AL146" s="19"/>
      <c r="AM146" s="19"/>
      <c r="AN146" s="19"/>
    </row>
    <row r="147" customHeight="1" spans="14:40">
      <c r="N147" s="19"/>
      <c r="O147" s="19"/>
      <c r="P147" s="19"/>
      <c r="Q147" s="19"/>
      <c r="R147" s="19"/>
      <c r="S147" s="19"/>
      <c r="T147" s="19"/>
      <c r="V147" s="19"/>
      <c r="W147" s="19"/>
      <c r="X147" s="19"/>
      <c r="Y147" s="19"/>
      <c r="Z147" s="19"/>
      <c r="AA147" s="19"/>
      <c r="AB147" s="19"/>
      <c r="AD147" s="19"/>
      <c r="AE147" s="19"/>
      <c r="AF147" s="19"/>
      <c r="AG147" s="19"/>
      <c r="AH147" s="19"/>
      <c r="AI147" s="19"/>
      <c r="AJ147" s="19"/>
      <c r="AL147" s="19"/>
      <c r="AM147" s="19"/>
      <c r="AN147" s="19"/>
    </row>
    <row r="148" customHeight="1" spans="14:40">
      <c r="N148" s="19"/>
      <c r="O148" s="19"/>
      <c r="P148" s="19"/>
      <c r="Q148" s="19"/>
      <c r="R148" s="19"/>
      <c r="S148" s="19"/>
      <c r="T148" s="19"/>
      <c r="V148" s="19"/>
      <c r="W148" s="19"/>
      <c r="X148" s="19"/>
      <c r="Y148" s="19"/>
      <c r="Z148" s="19"/>
      <c r="AA148" s="19"/>
      <c r="AB148" s="19"/>
      <c r="AD148" s="19"/>
      <c r="AE148" s="19"/>
      <c r="AF148" s="19"/>
      <c r="AG148" s="19"/>
      <c r="AH148" s="19"/>
      <c r="AI148" s="19"/>
      <c r="AJ148" s="19"/>
      <c r="AL148" s="19"/>
      <c r="AM148" s="19"/>
      <c r="AN148" s="19"/>
    </row>
    <row r="149" customHeight="1" spans="14:40">
      <c r="N149" s="19"/>
      <c r="O149" s="19"/>
      <c r="P149" s="19"/>
      <c r="Q149" s="19"/>
      <c r="R149" s="19"/>
      <c r="S149" s="19"/>
      <c r="T149" s="19"/>
      <c r="V149" s="19"/>
      <c r="W149" s="19"/>
      <c r="X149" s="19"/>
      <c r="Y149" s="19"/>
      <c r="Z149" s="19"/>
      <c r="AA149" s="19"/>
      <c r="AB149" s="19"/>
      <c r="AD149" s="19"/>
      <c r="AE149" s="19"/>
      <c r="AF149" s="19"/>
      <c r="AG149" s="19"/>
      <c r="AH149" s="19"/>
      <c r="AI149" s="19"/>
      <c r="AJ149" s="19"/>
      <c r="AL149" s="19"/>
      <c r="AM149" s="19"/>
      <c r="AN149" s="19"/>
    </row>
    <row r="150" customHeight="1" spans="14:40">
      <c r="N150" s="19"/>
      <c r="O150" s="19"/>
      <c r="P150" s="19"/>
      <c r="Q150" s="19"/>
      <c r="R150" s="19"/>
      <c r="S150" s="19"/>
      <c r="T150" s="19"/>
      <c r="V150" s="19"/>
      <c r="W150" s="19"/>
      <c r="X150" s="19"/>
      <c r="Y150" s="19"/>
      <c r="Z150" s="19"/>
      <c r="AA150" s="19"/>
      <c r="AB150" s="19"/>
      <c r="AD150" s="19"/>
      <c r="AE150" s="19"/>
      <c r="AF150" s="19"/>
      <c r="AG150" s="19"/>
      <c r="AH150" s="19"/>
      <c r="AI150" s="19"/>
      <c r="AJ150" s="19"/>
      <c r="AL150" s="19"/>
      <c r="AM150" s="19"/>
      <c r="AN150" s="19"/>
    </row>
    <row r="151" customHeight="1" spans="14:40">
      <c r="N151" s="19"/>
      <c r="O151" s="19"/>
      <c r="P151" s="19"/>
      <c r="Q151" s="19"/>
      <c r="R151" s="19"/>
      <c r="S151" s="19"/>
      <c r="T151" s="19"/>
      <c r="V151" s="19"/>
      <c r="W151" s="19"/>
      <c r="X151" s="19"/>
      <c r="Y151" s="19"/>
      <c r="Z151" s="19"/>
      <c r="AA151" s="19"/>
      <c r="AB151" s="19"/>
      <c r="AD151" s="19"/>
      <c r="AE151" s="19"/>
      <c r="AF151" s="19"/>
      <c r="AG151" s="19"/>
      <c r="AH151" s="19"/>
      <c r="AI151" s="19"/>
      <c r="AJ151" s="19"/>
      <c r="AL151" s="19"/>
      <c r="AM151" s="19"/>
      <c r="AN151" s="19"/>
    </row>
    <row r="152" customHeight="1" spans="14:40">
      <c r="N152" s="19"/>
      <c r="O152" s="19"/>
      <c r="P152" s="19"/>
      <c r="Q152" s="19"/>
      <c r="R152" s="19"/>
      <c r="S152" s="19"/>
      <c r="T152" s="19"/>
      <c r="V152" s="19"/>
      <c r="W152" s="19"/>
      <c r="X152" s="19"/>
      <c r="Y152" s="19"/>
      <c r="Z152" s="19"/>
      <c r="AA152" s="19"/>
      <c r="AB152" s="19"/>
      <c r="AD152" s="19"/>
      <c r="AE152" s="19"/>
      <c r="AF152" s="19"/>
      <c r="AG152" s="19"/>
      <c r="AH152" s="19"/>
      <c r="AI152" s="19"/>
      <c r="AJ152" s="19"/>
      <c r="AL152" s="19"/>
      <c r="AM152" s="19"/>
      <c r="AN152" s="19"/>
    </row>
    <row r="153" customHeight="1" spans="14:40">
      <c r="N153" s="19"/>
      <c r="O153" s="19"/>
      <c r="P153" s="19"/>
      <c r="Q153" s="19"/>
      <c r="R153" s="19"/>
      <c r="S153" s="19"/>
      <c r="T153" s="19"/>
      <c r="V153" s="19"/>
      <c r="W153" s="19"/>
      <c r="X153" s="19"/>
      <c r="Y153" s="19"/>
      <c r="Z153" s="19"/>
      <c r="AA153" s="19"/>
      <c r="AB153" s="19"/>
      <c r="AD153" s="19"/>
      <c r="AE153" s="19"/>
      <c r="AF153" s="19"/>
      <c r="AG153" s="19"/>
      <c r="AH153" s="19"/>
      <c r="AI153" s="19"/>
      <c r="AJ153" s="19"/>
      <c r="AL153" s="19"/>
      <c r="AM153" s="19"/>
      <c r="AN153" s="19"/>
    </row>
    <row r="154" customHeight="1" spans="14:40">
      <c r="N154" s="19"/>
      <c r="O154" s="19"/>
      <c r="P154" s="19"/>
      <c r="Q154" s="19"/>
      <c r="R154" s="19"/>
      <c r="S154" s="19"/>
      <c r="T154" s="19"/>
      <c r="V154" s="19"/>
      <c r="W154" s="19"/>
      <c r="X154" s="19"/>
      <c r="Y154" s="19"/>
      <c r="Z154" s="19"/>
      <c r="AA154" s="19"/>
      <c r="AB154" s="19"/>
      <c r="AD154" s="19"/>
      <c r="AE154" s="19"/>
      <c r="AF154" s="19"/>
      <c r="AG154" s="19"/>
      <c r="AH154" s="19"/>
      <c r="AI154" s="19"/>
      <c r="AJ154" s="19"/>
      <c r="AL154" s="19"/>
      <c r="AM154" s="19"/>
      <c r="AN154" s="19"/>
    </row>
    <row r="155" customHeight="1" spans="14:40">
      <c r="N155" s="19"/>
      <c r="O155" s="19"/>
      <c r="P155" s="19"/>
      <c r="Q155" s="19"/>
      <c r="R155" s="19"/>
      <c r="S155" s="19"/>
      <c r="T155" s="19"/>
      <c r="V155" s="19"/>
      <c r="W155" s="19"/>
      <c r="X155" s="19"/>
      <c r="Y155" s="19"/>
      <c r="Z155" s="19"/>
      <c r="AA155" s="19"/>
      <c r="AB155" s="19"/>
      <c r="AD155" s="19"/>
      <c r="AE155" s="19"/>
      <c r="AF155" s="19"/>
      <c r="AG155" s="19"/>
      <c r="AH155" s="19"/>
      <c r="AI155" s="19"/>
      <c r="AJ155" s="19"/>
      <c r="AL155" s="19"/>
      <c r="AM155" s="19"/>
      <c r="AN155" s="19"/>
    </row>
    <row r="156" customHeight="1" spans="14:40">
      <c r="N156" s="19"/>
      <c r="O156" s="19"/>
      <c r="P156" s="19"/>
      <c r="Q156" s="19"/>
      <c r="R156" s="19"/>
      <c r="S156" s="19"/>
      <c r="T156" s="19"/>
      <c r="V156" s="19"/>
      <c r="W156" s="19"/>
      <c r="X156" s="19"/>
      <c r="Y156" s="19"/>
      <c r="Z156" s="19"/>
      <c r="AA156" s="19"/>
      <c r="AB156" s="19"/>
      <c r="AD156" s="19"/>
      <c r="AE156" s="19"/>
      <c r="AF156" s="19"/>
      <c r="AG156" s="19"/>
      <c r="AH156" s="19"/>
      <c r="AI156" s="19"/>
      <c r="AJ156" s="19"/>
      <c r="AL156" s="19"/>
      <c r="AM156" s="19"/>
      <c r="AN156" s="19"/>
    </row>
    <row r="157" customHeight="1" spans="14:40">
      <c r="N157" s="19"/>
      <c r="O157" s="19"/>
      <c r="P157" s="19"/>
      <c r="Q157" s="19"/>
      <c r="R157" s="19"/>
      <c r="S157" s="19"/>
      <c r="T157" s="19"/>
      <c r="V157" s="19"/>
      <c r="W157" s="19"/>
      <c r="X157" s="19"/>
      <c r="Y157" s="19"/>
      <c r="Z157" s="19"/>
      <c r="AA157" s="19"/>
      <c r="AB157" s="19"/>
      <c r="AD157" s="19"/>
      <c r="AE157" s="19"/>
      <c r="AF157" s="19"/>
      <c r="AG157" s="19"/>
      <c r="AH157" s="19"/>
      <c r="AI157" s="19"/>
      <c r="AJ157" s="19"/>
      <c r="AL157" s="19"/>
      <c r="AM157" s="19"/>
      <c r="AN157" s="19"/>
    </row>
    <row r="158" customHeight="1" spans="14:40">
      <c r="N158" s="19"/>
      <c r="O158" s="19"/>
      <c r="P158" s="19"/>
      <c r="Q158" s="19"/>
      <c r="R158" s="19"/>
      <c r="S158" s="19"/>
      <c r="T158" s="19"/>
      <c r="V158" s="19"/>
      <c r="W158" s="19"/>
      <c r="X158" s="19"/>
      <c r="Y158" s="19"/>
      <c r="Z158" s="19"/>
      <c r="AA158" s="19"/>
      <c r="AB158" s="19"/>
      <c r="AD158" s="19"/>
      <c r="AE158" s="19"/>
      <c r="AF158" s="19"/>
      <c r="AG158" s="19"/>
      <c r="AH158" s="19"/>
      <c r="AI158" s="19"/>
      <c r="AJ158" s="19"/>
      <c r="AL158" s="19"/>
      <c r="AM158" s="19"/>
      <c r="AN158" s="19"/>
    </row>
    <row r="159" customHeight="1" spans="14:40">
      <c r="N159" s="19"/>
      <c r="O159" s="19"/>
      <c r="P159" s="19"/>
      <c r="Q159" s="19"/>
      <c r="R159" s="19"/>
      <c r="S159" s="19"/>
      <c r="T159" s="19"/>
      <c r="V159" s="19"/>
      <c r="W159" s="19"/>
      <c r="X159" s="19"/>
      <c r="Y159" s="19"/>
      <c r="Z159" s="19"/>
      <c r="AA159" s="19"/>
      <c r="AB159" s="19"/>
      <c r="AD159" s="19"/>
      <c r="AE159" s="19"/>
      <c r="AF159" s="19"/>
      <c r="AG159" s="19"/>
      <c r="AH159" s="19"/>
      <c r="AI159" s="19"/>
      <c r="AJ159" s="19"/>
    </row>
    <row r="160" customHeight="1" spans="14:40">
      <c r="N160" s="19"/>
      <c r="O160" s="19"/>
      <c r="P160" s="19"/>
      <c r="Q160" s="19"/>
      <c r="R160" s="19"/>
      <c r="S160" s="19"/>
      <c r="T160" s="19"/>
      <c r="V160" s="19"/>
      <c r="W160" s="19"/>
      <c r="X160" s="19"/>
      <c r="Y160" s="19"/>
      <c r="Z160" s="19"/>
      <c r="AA160" s="19"/>
      <c r="AB160" s="19"/>
      <c r="AD160" s="19"/>
      <c r="AE160" s="19"/>
      <c r="AF160" s="19"/>
      <c r="AG160" s="19"/>
      <c r="AH160" s="19"/>
      <c r="AI160" s="19"/>
      <c r="AJ160" s="19"/>
    </row>
    <row r="161" customHeight="1" spans="14:36">
      <c r="N161" s="19"/>
      <c r="O161" s="19"/>
      <c r="P161" s="19"/>
      <c r="Q161" s="19"/>
      <c r="R161" s="19"/>
      <c r="S161" s="19"/>
      <c r="T161" s="19"/>
      <c r="V161" s="19"/>
      <c r="W161" s="19"/>
      <c r="X161" s="19"/>
      <c r="Y161" s="19"/>
      <c r="Z161" s="19"/>
      <c r="AA161" s="19"/>
      <c r="AB161" s="19"/>
      <c r="AD161" s="19"/>
      <c r="AE161" s="19"/>
      <c r="AF161" s="19"/>
      <c r="AG161" s="19"/>
      <c r="AH161" s="19"/>
      <c r="AI161" s="19"/>
      <c r="AJ161" s="19"/>
    </row>
    <row r="162" customHeight="1" spans="14:36">
      <c r="N162" s="19"/>
      <c r="O162" s="19"/>
      <c r="P162" s="19"/>
      <c r="Q162" s="19"/>
      <c r="R162" s="19"/>
      <c r="S162" s="19"/>
      <c r="T162" s="19"/>
      <c r="V162" s="19"/>
      <c r="W162" s="19"/>
      <c r="X162" s="19"/>
      <c r="Y162" s="19"/>
      <c r="Z162" s="19"/>
      <c r="AA162" s="19"/>
      <c r="AB162" s="19"/>
      <c r="AD162" s="19"/>
      <c r="AE162" s="19"/>
      <c r="AF162" s="19"/>
      <c r="AG162" s="19"/>
      <c r="AH162" s="19"/>
      <c r="AI162" s="19"/>
      <c r="AJ162" s="19"/>
    </row>
    <row r="163" customHeight="1" spans="14:36">
      <c r="N163" s="19"/>
      <c r="O163" s="19"/>
      <c r="P163" s="19"/>
      <c r="Q163" s="19"/>
      <c r="R163" s="19"/>
      <c r="S163" s="19"/>
      <c r="T163" s="19"/>
      <c r="V163" s="19"/>
      <c r="W163" s="19"/>
      <c r="X163" s="19"/>
      <c r="Y163" s="19"/>
      <c r="Z163" s="19"/>
      <c r="AA163" s="19"/>
      <c r="AB163" s="19"/>
      <c r="AD163" s="19"/>
      <c r="AE163" s="19"/>
      <c r="AF163" s="19"/>
      <c r="AG163" s="19"/>
      <c r="AH163" s="19"/>
      <c r="AI163" s="19"/>
      <c r="AJ163" s="19"/>
    </row>
    <row r="164" customHeight="1" spans="14:36">
      <c r="N164" s="19"/>
      <c r="O164" s="19"/>
      <c r="P164" s="19"/>
      <c r="Q164" s="19"/>
      <c r="R164" s="19"/>
      <c r="S164" s="19"/>
      <c r="T164" s="19"/>
      <c r="V164" s="19"/>
      <c r="W164" s="19"/>
      <c r="X164" s="19"/>
      <c r="Y164" s="19"/>
      <c r="Z164" s="19"/>
      <c r="AA164" s="19"/>
      <c r="AB164" s="19"/>
      <c r="AD164" s="19"/>
      <c r="AE164" s="19"/>
      <c r="AF164" s="19"/>
      <c r="AG164" s="19"/>
      <c r="AH164" s="19"/>
      <c r="AI164" s="19"/>
      <c r="AJ164" s="19"/>
    </row>
    <row r="165" customHeight="1" spans="14:36">
      <c r="N165" s="19"/>
      <c r="O165" s="19"/>
      <c r="P165" s="19"/>
      <c r="Q165" s="19"/>
      <c r="R165" s="19"/>
      <c r="S165" s="19"/>
      <c r="T165" s="19"/>
      <c r="V165" s="19"/>
      <c r="W165" s="19"/>
      <c r="X165" s="19"/>
      <c r="Y165" s="19"/>
      <c r="Z165" s="19"/>
      <c r="AA165" s="19"/>
      <c r="AB165" s="19"/>
      <c r="AD165" s="19"/>
      <c r="AE165" s="19"/>
      <c r="AF165" s="19"/>
      <c r="AG165" s="19"/>
      <c r="AH165" s="19"/>
      <c r="AI165" s="19"/>
      <c r="AJ165" s="19"/>
    </row>
    <row r="166" customHeight="1" spans="14:36">
      <c r="N166" s="19"/>
      <c r="O166" s="19"/>
      <c r="P166" s="19"/>
      <c r="Q166" s="19"/>
      <c r="R166" s="19"/>
      <c r="S166" s="19"/>
      <c r="T166" s="19"/>
      <c r="V166" s="19"/>
      <c r="W166" s="19"/>
      <c r="X166" s="19"/>
      <c r="Y166" s="19"/>
      <c r="Z166" s="19"/>
      <c r="AA166" s="19"/>
      <c r="AB166" s="19"/>
      <c r="AD166" s="19"/>
      <c r="AE166" s="19"/>
      <c r="AF166" s="19"/>
      <c r="AG166" s="19"/>
      <c r="AH166" s="19"/>
      <c r="AI166" s="19"/>
      <c r="AJ166" s="19"/>
    </row>
    <row r="167" customHeight="1" spans="14:36">
      <c r="N167" s="19"/>
      <c r="O167" s="19"/>
      <c r="P167" s="19"/>
      <c r="Q167" s="19"/>
      <c r="R167" s="19"/>
      <c r="S167" s="19"/>
      <c r="T167" s="19"/>
      <c r="V167" s="19"/>
      <c r="W167" s="19"/>
      <c r="X167" s="19"/>
      <c r="Y167" s="19"/>
      <c r="Z167" s="19"/>
      <c r="AA167" s="19"/>
      <c r="AB167" s="19"/>
      <c r="AD167" s="19"/>
      <c r="AE167" s="19"/>
      <c r="AF167" s="19"/>
      <c r="AG167" s="19"/>
      <c r="AH167" s="19"/>
      <c r="AI167" s="19"/>
      <c r="AJ167" s="19"/>
    </row>
    <row r="168" customHeight="1" spans="14:36">
      <c r="N168" s="19"/>
      <c r="O168" s="19"/>
      <c r="P168" s="19"/>
      <c r="Q168" s="19"/>
      <c r="R168" s="19"/>
      <c r="S168" s="19"/>
      <c r="T168" s="19"/>
      <c r="V168" s="19"/>
      <c r="W168" s="19"/>
      <c r="X168" s="19"/>
      <c r="Y168" s="19"/>
      <c r="Z168" s="19"/>
      <c r="AA168" s="19"/>
      <c r="AB168" s="19"/>
      <c r="AD168" s="19"/>
      <c r="AE168" s="19"/>
      <c r="AF168" s="19"/>
      <c r="AG168" s="19"/>
      <c r="AH168" s="19"/>
      <c r="AI168" s="19"/>
      <c r="AJ168" s="19"/>
    </row>
    <row r="169" customHeight="1" spans="14:36">
      <c r="N169" s="19"/>
      <c r="O169" s="19"/>
      <c r="P169" s="19"/>
      <c r="Q169" s="19"/>
      <c r="R169" s="19"/>
      <c r="S169" s="19"/>
      <c r="T169" s="19"/>
      <c r="V169" s="19"/>
      <c r="W169" s="19"/>
      <c r="X169" s="19"/>
      <c r="Y169" s="19"/>
      <c r="Z169" s="19"/>
      <c r="AA169" s="19"/>
      <c r="AB169" s="19"/>
      <c r="AD169" s="19"/>
      <c r="AE169" s="19"/>
      <c r="AF169" s="19"/>
      <c r="AG169" s="19"/>
      <c r="AH169" s="19"/>
      <c r="AI169" s="19"/>
      <c r="AJ169" s="19"/>
    </row>
    <row r="170" customHeight="1" spans="14:36">
      <c r="N170" s="19"/>
      <c r="O170" s="19"/>
      <c r="P170" s="19"/>
      <c r="Q170" s="19"/>
      <c r="R170" s="19"/>
      <c r="S170" s="19"/>
      <c r="T170" s="19"/>
      <c r="V170" s="19"/>
      <c r="W170" s="19"/>
      <c r="X170" s="19"/>
      <c r="Y170" s="19"/>
      <c r="Z170" s="19"/>
      <c r="AA170" s="19"/>
      <c r="AB170" s="19"/>
      <c r="AD170" s="19"/>
      <c r="AE170" s="19"/>
      <c r="AF170" s="19"/>
      <c r="AG170" s="19"/>
      <c r="AH170" s="19"/>
      <c r="AI170" s="19"/>
      <c r="AJ170" s="19"/>
    </row>
    <row r="171" customHeight="1" spans="14:36">
      <c r="N171" s="19"/>
      <c r="O171" s="19"/>
      <c r="P171" s="19"/>
      <c r="Q171" s="19"/>
      <c r="R171" s="19"/>
      <c r="S171" s="19"/>
      <c r="T171" s="19"/>
      <c r="V171" s="19"/>
      <c r="W171" s="19"/>
      <c r="X171" s="19"/>
      <c r="Y171" s="19"/>
      <c r="Z171" s="19"/>
      <c r="AA171" s="19"/>
      <c r="AB171" s="19"/>
      <c r="AD171" s="19"/>
      <c r="AE171" s="19"/>
      <c r="AF171" s="19"/>
      <c r="AG171" s="19"/>
      <c r="AH171" s="19"/>
      <c r="AI171" s="19"/>
      <c r="AJ171" s="19"/>
    </row>
    <row r="172" customHeight="1" spans="14:36">
      <c r="N172" s="19"/>
      <c r="O172" s="19"/>
      <c r="P172" s="19"/>
      <c r="Q172" s="19"/>
      <c r="R172" s="19"/>
      <c r="S172" s="19"/>
      <c r="T172" s="19"/>
      <c r="V172" s="19"/>
      <c r="W172" s="19"/>
      <c r="X172" s="19"/>
      <c r="Y172" s="19"/>
      <c r="Z172" s="19"/>
      <c r="AA172" s="19"/>
      <c r="AB172" s="19"/>
      <c r="AD172" s="19"/>
      <c r="AE172" s="19"/>
      <c r="AF172" s="19"/>
      <c r="AG172" s="19"/>
      <c r="AH172" s="19"/>
      <c r="AI172" s="19"/>
      <c r="AJ172" s="19"/>
    </row>
    <row r="173" customHeight="1" spans="14:36">
      <c r="N173" s="19"/>
      <c r="O173" s="19"/>
      <c r="P173" s="19"/>
      <c r="Q173" s="19"/>
      <c r="R173" s="19"/>
      <c r="S173" s="19"/>
      <c r="T173" s="19"/>
      <c r="V173" s="19"/>
      <c r="W173" s="19"/>
      <c r="X173" s="19"/>
      <c r="Y173" s="19"/>
      <c r="Z173" s="19"/>
      <c r="AA173" s="19"/>
      <c r="AB173" s="19"/>
      <c r="AD173" s="19"/>
      <c r="AE173" s="19"/>
      <c r="AF173" s="19"/>
      <c r="AG173" s="19"/>
      <c r="AH173" s="19"/>
      <c r="AI173" s="19"/>
      <c r="AJ173" s="19"/>
    </row>
    <row r="174" customHeight="1" spans="14:36">
      <c r="N174" s="19"/>
      <c r="O174" s="19"/>
      <c r="P174" s="19"/>
      <c r="Q174" s="19"/>
      <c r="R174" s="19"/>
      <c r="S174" s="19"/>
      <c r="T174" s="19"/>
      <c r="V174" s="19"/>
      <c r="W174" s="19"/>
      <c r="X174" s="19"/>
      <c r="Y174" s="19"/>
      <c r="Z174" s="19"/>
      <c r="AA174" s="19"/>
      <c r="AB174" s="19"/>
      <c r="AD174" s="19"/>
      <c r="AE174" s="19"/>
      <c r="AF174" s="19"/>
      <c r="AG174" s="19"/>
      <c r="AH174" s="19"/>
      <c r="AI174" s="19"/>
      <c r="AJ174" s="19"/>
    </row>
    <row r="175" customHeight="1" spans="14:36">
      <c r="N175" s="19"/>
      <c r="O175" s="19"/>
      <c r="P175" s="19"/>
      <c r="Q175" s="19"/>
      <c r="R175" s="19"/>
      <c r="S175" s="19"/>
      <c r="T175" s="19"/>
      <c r="V175" s="19"/>
      <c r="W175" s="19"/>
      <c r="X175" s="19"/>
      <c r="Y175" s="19"/>
      <c r="Z175" s="19"/>
      <c r="AA175" s="19"/>
      <c r="AB175" s="19"/>
      <c r="AD175" s="19"/>
      <c r="AE175" s="19"/>
      <c r="AF175" s="19"/>
      <c r="AG175" s="19"/>
      <c r="AH175" s="19"/>
      <c r="AI175" s="19"/>
      <c r="AJ175" s="19"/>
    </row>
    <row r="176" customHeight="1" spans="14:36">
      <c r="N176" s="19"/>
      <c r="O176" s="19"/>
      <c r="P176" s="19"/>
      <c r="Q176" s="19"/>
      <c r="R176" s="19"/>
      <c r="S176" s="19"/>
      <c r="T176" s="19"/>
      <c r="V176" s="19"/>
      <c r="W176" s="19"/>
      <c r="X176" s="19"/>
      <c r="Y176" s="19"/>
      <c r="Z176" s="19"/>
      <c r="AA176" s="19"/>
      <c r="AB176" s="19"/>
      <c r="AD176" s="19"/>
      <c r="AE176" s="19"/>
      <c r="AF176" s="19"/>
      <c r="AG176" s="19"/>
      <c r="AH176" s="19"/>
      <c r="AI176" s="19"/>
      <c r="AJ176" s="19"/>
    </row>
    <row r="177" customHeight="1" spans="14:36">
      <c r="N177" s="19"/>
      <c r="O177" s="19"/>
      <c r="P177" s="19"/>
      <c r="Q177" s="19"/>
      <c r="R177" s="19"/>
      <c r="S177" s="19"/>
      <c r="T177" s="19"/>
      <c r="V177" s="19"/>
      <c r="W177" s="19"/>
      <c r="X177" s="19"/>
      <c r="Y177" s="19"/>
      <c r="Z177" s="19"/>
      <c r="AA177" s="19"/>
      <c r="AB177" s="19"/>
      <c r="AD177" s="19"/>
      <c r="AE177" s="19"/>
      <c r="AF177" s="19"/>
      <c r="AG177" s="19"/>
      <c r="AH177" s="19"/>
      <c r="AI177" s="19"/>
      <c r="AJ177" s="19"/>
    </row>
    <row r="178" customHeight="1" spans="14:36">
      <c r="N178" s="19"/>
      <c r="O178" s="19"/>
      <c r="P178" s="19"/>
      <c r="Q178" s="19"/>
      <c r="R178" s="19"/>
      <c r="S178" s="19"/>
      <c r="T178" s="19"/>
      <c r="V178" s="19"/>
      <c r="W178" s="19"/>
      <c r="X178" s="19"/>
      <c r="Y178" s="19"/>
      <c r="Z178" s="19"/>
      <c r="AA178" s="19"/>
      <c r="AB178" s="19"/>
      <c r="AD178" s="19"/>
      <c r="AE178" s="19"/>
      <c r="AF178" s="19"/>
      <c r="AG178" s="19"/>
      <c r="AH178" s="19"/>
      <c r="AI178" s="19"/>
      <c r="AJ178" s="19"/>
    </row>
    <row r="179" customHeight="1" spans="14:36">
      <c r="N179" s="19"/>
      <c r="O179" s="19"/>
      <c r="P179" s="19"/>
      <c r="Q179" s="19"/>
      <c r="R179" s="19"/>
      <c r="S179" s="19"/>
      <c r="T179" s="19"/>
      <c r="V179" s="19"/>
      <c r="W179" s="19"/>
      <c r="X179" s="19"/>
      <c r="Y179" s="19"/>
      <c r="Z179" s="19"/>
      <c r="AA179" s="19"/>
      <c r="AB179" s="19"/>
      <c r="AD179" s="19"/>
      <c r="AE179" s="19"/>
      <c r="AF179" s="19"/>
      <c r="AG179" s="19"/>
      <c r="AH179" s="19"/>
      <c r="AI179" s="19"/>
      <c r="AJ179" s="19"/>
    </row>
    <row r="180" customHeight="1" spans="14:36">
      <c r="N180" s="19"/>
      <c r="O180" s="19"/>
      <c r="P180" s="19"/>
      <c r="Q180" s="19"/>
      <c r="R180" s="19"/>
      <c r="S180" s="19"/>
      <c r="T180" s="19"/>
      <c r="V180" s="19"/>
      <c r="W180" s="19"/>
      <c r="X180" s="19"/>
      <c r="Y180" s="19"/>
      <c r="Z180" s="19"/>
      <c r="AA180" s="19"/>
      <c r="AB180" s="19"/>
      <c r="AD180" s="19"/>
      <c r="AE180" s="19"/>
      <c r="AF180" s="19"/>
      <c r="AG180" s="19"/>
      <c r="AH180" s="19"/>
      <c r="AI180" s="19"/>
      <c r="AJ180" s="19"/>
    </row>
    <row r="181" customHeight="1" spans="14:36">
      <c r="N181" s="19"/>
      <c r="O181" s="19"/>
      <c r="P181" s="19"/>
      <c r="Q181" s="19"/>
      <c r="R181" s="19"/>
      <c r="S181" s="19"/>
      <c r="T181" s="19"/>
      <c r="V181" s="19"/>
      <c r="W181" s="19"/>
      <c r="X181" s="19"/>
      <c r="Y181" s="19"/>
      <c r="Z181" s="19"/>
      <c r="AA181" s="19"/>
      <c r="AB181" s="19"/>
      <c r="AD181" s="19"/>
      <c r="AE181" s="19"/>
      <c r="AF181" s="19"/>
      <c r="AG181" s="19"/>
      <c r="AH181" s="19"/>
      <c r="AI181" s="19"/>
      <c r="AJ181" s="19"/>
    </row>
    <row r="182" customHeight="1" spans="14:36">
      <c r="N182" s="19"/>
      <c r="O182" s="19"/>
      <c r="P182" s="19"/>
      <c r="Q182" s="19"/>
      <c r="R182" s="19"/>
      <c r="S182" s="19"/>
      <c r="T182" s="19"/>
      <c r="V182" s="19"/>
      <c r="W182" s="19"/>
      <c r="X182" s="19"/>
      <c r="Y182" s="19"/>
      <c r="Z182" s="19"/>
      <c r="AA182" s="19"/>
      <c r="AB182" s="19"/>
      <c r="AD182" s="19"/>
      <c r="AE182" s="19"/>
      <c r="AF182" s="19"/>
      <c r="AG182" s="19"/>
      <c r="AH182" s="19"/>
      <c r="AI182" s="19"/>
      <c r="AJ182" s="19"/>
    </row>
    <row r="183" customHeight="1" spans="14:36">
      <c r="N183" s="19"/>
      <c r="O183" s="19"/>
      <c r="P183" s="19"/>
      <c r="Q183" s="19"/>
      <c r="R183" s="19"/>
      <c r="S183" s="19"/>
      <c r="T183" s="19"/>
      <c r="V183" s="19"/>
      <c r="W183" s="19"/>
      <c r="X183" s="19"/>
      <c r="Y183" s="19"/>
      <c r="Z183" s="19"/>
      <c r="AA183" s="19"/>
      <c r="AB183" s="19"/>
      <c r="AD183" s="19"/>
      <c r="AE183" s="19"/>
      <c r="AF183" s="19"/>
      <c r="AG183" s="19"/>
      <c r="AH183" s="19"/>
      <c r="AI183" s="19"/>
      <c r="AJ183" s="19"/>
    </row>
    <row r="184" customHeight="1" spans="14:36">
      <c r="N184" s="19"/>
      <c r="O184" s="19"/>
      <c r="P184" s="19"/>
      <c r="Q184" s="19"/>
      <c r="R184" s="19"/>
      <c r="S184" s="19"/>
      <c r="T184" s="19"/>
      <c r="V184" s="19"/>
      <c r="W184" s="19"/>
      <c r="X184" s="19"/>
      <c r="Y184" s="19"/>
      <c r="Z184" s="19"/>
      <c r="AA184" s="19"/>
      <c r="AB184" s="19"/>
      <c r="AD184" s="19"/>
      <c r="AE184" s="19"/>
      <c r="AF184" s="19"/>
      <c r="AG184" s="19"/>
      <c r="AH184" s="19"/>
      <c r="AI184" s="19"/>
      <c r="AJ184" s="19"/>
    </row>
    <row r="185" customHeight="1" spans="14:36">
      <c r="N185" s="19"/>
      <c r="O185" s="19"/>
      <c r="P185" s="19"/>
      <c r="Q185" s="19"/>
      <c r="R185" s="19"/>
      <c r="S185" s="19"/>
      <c r="T185" s="19"/>
      <c r="V185" s="19"/>
      <c r="W185" s="19"/>
      <c r="X185" s="19"/>
      <c r="Y185" s="19"/>
      <c r="Z185" s="19"/>
      <c r="AA185" s="19"/>
      <c r="AB185" s="19"/>
      <c r="AD185" s="19"/>
      <c r="AE185" s="19"/>
      <c r="AF185" s="19"/>
      <c r="AG185" s="19"/>
      <c r="AH185" s="19"/>
      <c r="AI185" s="19"/>
      <c r="AJ185" s="19"/>
    </row>
    <row r="186" customHeight="1" spans="14:36">
      <c r="N186" s="19"/>
      <c r="O186" s="19"/>
      <c r="P186" s="19"/>
      <c r="Q186" s="19"/>
      <c r="R186" s="19"/>
      <c r="S186" s="19"/>
      <c r="T186" s="19"/>
      <c r="V186" s="19"/>
      <c r="W186" s="19"/>
      <c r="X186" s="19"/>
      <c r="Y186" s="19"/>
      <c r="Z186" s="19"/>
      <c r="AA186" s="19"/>
      <c r="AB186" s="19"/>
      <c r="AD186" s="19"/>
      <c r="AE186" s="19"/>
      <c r="AF186" s="19"/>
      <c r="AG186" s="19"/>
      <c r="AH186" s="19"/>
      <c r="AI186" s="19"/>
      <c r="AJ186" s="19"/>
    </row>
    <row r="187" customHeight="1" spans="14:36">
      <c r="N187" s="19"/>
      <c r="O187" s="19"/>
      <c r="P187" s="19"/>
      <c r="Q187" s="19"/>
      <c r="R187" s="19"/>
      <c r="S187" s="19"/>
      <c r="T187" s="19"/>
      <c r="V187" s="19"/>
      <c r="W187" s="19"/>
      <c r="X187" s="19"/>
      <c r="Y187" s="19"/>
      <c r="Z187" s="19"/>
      <c r="AA187" s="19"/>
      <c r="AB187" s="19"/>
      <c r="AD187" s="19"/>
      <c r="AE187" s="19"/>
      <c r="AF187" s="19"/>
      <c r="AG187" s="19"/>
      <c r="AH187" s="19"/>
      <c r="AI187" s="19"/>
      <c r="AJ187" s="19"/>
    </row>
    <row r="188" customHeight="1" spans="14:36">
      <c r="N188" s="19"/>
      <c r="O188" s="19"/>
      <c r="P188" s="19"/>
      <c r="Q188" s="19"/>
      <c r="R188" s="19"/>
      <c r="S188" s="19"/>
      <c r="T188" s="19"/>
      <c r="V188" s="19"/>
      <c r="W188" s="19"/>
      <c r="X188" s="19"/>
      <c r="Y188" s="19"/>
      <c r="Z188" s="19"/>
      <c r="AA188" s="19"/>
      <c r="AB188" s="19"/>
      <c r="AD188" s="19"/>
      <c r="AE188" s="19"/>
      <c r="AF188" s="19"/>
      <c r="AG188" s="19"/>
      <c r="AH188" s="19"/>
      <c r="AI188" s="19"/>
      <c r="AJ188" s="19"/>
    </row>
    <row r="189" customHeight="1" spans="14:36">
      <c r="N189" s="19"/>
      <c r="O189" s="19"/>
      <c r="P189" s="19"/>
      <c r="Q189" s="19"/>
      <c r="R189" s="19"/>
      <c r="S189" s="19"/>
      <c r="T189" s="19"/>
      <c r="V189" s="19"/>
      <c r="W189" s="19"/>
      <c r="X189" s="19"/>
      <c r="Y189" s="19"/>
      <c r="Z189" s="19"/>
      <c r="AA189" s="19"/>
      <c r="AB189" s="19"/>
      <c r="AD189" s="19"/>
      <c r="AE189" s="19"/>
      <c r="AF189" s="19"/>
      <c r="AG189" s="19"/>
      <c r="AH189" s="19"/>
      <c r="AI189" s="19"/>
      <c r="AJ189" s="19"/>
    </row>
    <row r="190" customHeight="1" spans="14:36">
      <c r="N190" s="19"/>
      <c r="O190" s="19"/>
      <c r="P190" s="19"/>
      <c r="Q190" s="19"/>
      <c r="R190" s="19"/>
      <c r="S190" s="19"/>
      <c r="T190" s="19"/>
      <c r="V190" s="19"/>
      <c r="W190" s="19"/>
      <c r="X190" s="19"/>
      <c r="Y190" s="19"/>
      <c r="Z190" s="19"/>
      <c r="AA190" s="19"/>
      <c r="AB190" s="19"/>
      <c r="AD190" s="19"/>
      <c r="AE190" s="19"/>
      <c r="AF190" s="19"/>
      <c r="AG190" s="19"/>
      <c r="AH190" s="19"/>
      <c r="AI190" s="19"/>
      <c r="AJ190" s="19"/>
    </row>
    <row r="191" customHeight="1" spans="14:36">
      <c r="N191" s="19"/>
      <c r="O191" s="19"/>
      <c r="P191" s="19"/>
      <c r="Q191" s="19"/>
      <c r="R191" s="19"/>
      <c r="S191" s="19"/>
      <c r="T191" s="19"/>
      <c r="V191" s="19"/>
      <c r="W191" s="19"/>
      <c r="X191" s="19"/>
      <c r="Y191" s="19"/>
      <c r="Z191" s="19"/>
      <c r="AA191" s="19"/>
      <c r="AB191" s="19"/>
      <c r="AD191" s="19"/>
      <c r="AE191" s="19"/>
      <c r="AF191" s="19"/>
      <c r="AG191" s="19"/>
      <c r="AH191" s="19"/>
      <c r="AI191" s="19"/>
      <c r="AJ191" s="19"/>
    </row>
    <row r="192" customHeight="1" spans="14:36">
      <c r="N192" s="19"/>
      <c r="O192" s="19"/>
      <c r="P192" s="19"/>
      <c r="Q192" s="19"/>
      <c r="R192" s="19"/>
      <c r="S192" s="19"/>
      <c r="T192" s="19"/>
      <c r="V192" s="19"/>
      <c r="W192" s="19"/>
      <c r="X192" s="19"/>
      <c r="Y192" s="19"/>
      <c r="Z192" s="19"/>
      <c r="AA192" s="19"/>
      <c r="AB192" s="19"/>
      <c r="AD192" s="19"/>
      <c r="AE192" s="19"/>
      <c r="AF192" s="19"/>
      <c r="AG192" s="19"/>
      <c r="AH192" s="19"/>
      <c r="AI192" s="19"/>
      <c r="AJ192" s="19"/>
    </row>
    <row r="193" customHeight="1" spans="14:36">
      <c r="N193" s="19"/>
      <c r="O193" s="19"/>
      <c r="P193" s="19"/>
      <c r="Q193" s="19"/>
      <c r="R193" s="19"/>
      <c r="S193" s="19"/>
      <c r="T193" s="19"/>
      <c r="V193" s="19"/>
      <c r="W193" s="19"/>
      <c r="X193" s="19"/>
      <c r="Y193" s="19"/>
      <c r="Z193" s="19"/>
      <c r="AA193" s="19"/>
      <c r="AB193" s="19"/>
      <c r="AD193" s="19"/>
      <c r="AE193" s="19"/>
      <c r="AF193" s="19"/>
      <c r="AG193" s="19"/>
      <c r="AH193" s="19"/>
      <c r="AI193" s="19"/>
      <c r="AJ193" s="19"/>
    </row>
    <row r="194" customHeight="1" spans="14:36">
      <c r="N194" s="19"/>
      <c r="O194" s="19"/>
      <c r="P194" s="19"/>
      <c r="Q194" s="19"/>
      <c r="R194" s="19"/>
      <c r="S194" s="19"/>
      <c r="T194" s="19"/>
      <c r="V194" s="19"/>
      <c r="W194" s="19"/>
      <c r="X194" s="19"/>
      <c r="Y194" s="19"/>
      <c r="Z194" s="19"/>
      <c r="AA194" s="19"/>
      <c r="AB194" s="19"/>
      <c r="AD194" s="19"/>
      <c r="AE194" s="19"/>
      <c r="AF194" s="19"/>
      <c r="AG194" s="19"/>
      <c r="AH194" s="19"/>
      <c r="AI194" s="19"/>
      <c r="AJ194" s="19"/>
    </row>
    <row r="195" customHeight="1" spans="14:36">
      <c r="N195" s="19"/>
      <c r="O195" s="19"/>
      <c r="P195" s="19"/>
      <c r="Q195" s="19"/>
      <c r="R195" s="19"/>
      <c r="S195" s="19"/>
      <c r="T195" s="19"/>
      <c r="V195" s="19"/>
      <c r="W195" s="19"/>
      <c r="X195" s="19"/>
      <c r="Y195" s="19"/>
      <c r="Z195" s="19"/>
      <c r="AA195" s="19"/>
      <c r="AB195" s="19"/>
      <c r="AD195" s="19"/>
      <c r="AE195" s="19"/>
      <c r="AF195" s="19"/>
      <c r="AG195" s="19"/>
      <c r="AH195" s="19"/>
      <c r="AI195" s="19"/>
      <c r="AJ195" s="19"/>
    </row>
    <row r="196" customHeight="1" spans="14:36">
      <c r="N196" s="19"/>
      <c r="O196" s="19"/>
      <c r="P196" s="19"/>
      <c r="Q196" s="19"/>
      <c r="R196" s="19"/>
      <c r="S196" s="19"/>
      <c r="T196" s="19"/>
      <c r="V196" s="19"/>
      <c r="W196" s="19"/>
      <c r="X196" s="19"/>
      <c r="Y196" s="19"/>
      <c r="Z196" s="19"/>
      <c r="AA196" s="19"/>
      <c r="AB196" s="19"/>
      <c r="AD196" s="19"/>
      <c r="AE196" s="19"/>
      <c r="AF196" s="19"/>
      <c r="AG196" s="19"/>
      <c r="AH196" s="19"/>
      <c r="AI196" s="19"/>
      <c r="AJ196" s="19"/>
    </row>
    <row r="197" customHeight="1" spans="14:36">
      <c r="N197" s="19"/>
      <c r="O197" s="19"/>
      <c r="P197" s="19"/>
      <c r="Q197" s="19"/>
      <c r="R197" s="19"/>
      <c r="S197" s="19"/>
      <c r="T197" s="19"/>
      <c r="V197" s="19"/>
      <c r="W197" s="19"/>
      <c r="X197" s="19"/>
      <c r="Y197" s="19"/>
      <c r="Z197" s="19"/>
      <c r="AA197" s="19"/>
      <c r="AB197" s="19"/>
      <c r="AD197" s="19"/>
      <c r="AE197" s="19"/>
      <c r="AF197" s="19"/>
      <c r="AG197" s="19"/>
      <c r="AH197" s="19"/>
      <c r="AI197" s="19"/>
      <c r="AJ197" s="19"/>
    </row>
    <row r="198" customHeight="1" spans="14:36">
      <c r="N198" s="19"/>
      <c r="O198" s="19"/>
      <c r="P198" s="19"/>
      <c r="Q198" s="19"/>
      <c r="R198" s="19"/>
      <c r="S198" s="19"/>
      <c r="T198" s="19"/>
      <c r="V198" s="19"/>
      <c r="W198" s="19"/>
      <c r="X198" s="19"/>
      <c r="Y198" s="19"/>
      <c r="Z198" s="19"/>
      <c r="AA198" s="19"/>
      <c r="AB198" s="19"/>
      <c r="AD198" s="19"/>
      <c r="AE198" s="19"/>
      <c r="AF198" s="19"/>
      <c r="AG198" s="19"/>
      <c r="AH198" s="19"/>
      <c r="AI198" s="19"/>
      <c r="AJ198" s="19"/>
    </row>
    <row r="199" customHeight="1" spans="14:36">
      <c r="N199" s="19"/>
      <c r="O199" s="19"/>
      <c r="P199" s="19"/>
      <c r="Q199" s="19"/>
      <c r="R199" s="19"/>
      <c r="S199" s="19"/>
      <c r="T199" s="19"/>
      <c r="V199" s="19"/>
      <c r="W199" s="19"/>
      <c r="X199" s="19"/>
      <c r="Y199" s="19"/>
      <c r="Z199" s="19"/>
      <c r="AA199" s="19"/>
      <c r="AB199" s="19"/>
      <c r="AD199" s="19"/>
      <c r="AE199" s="19"/>
      <c r="AF199" s="19"/>
      <c r="AG199" s="19"/>
      <c r="AH199" s="19"/>
      <c r="AI199" s="19"/>
      <c r="AJ199" s="19"/>
    </row>
    <row r="200" customHeight="1" spans="14:36">
      <c r="N200" s="19"/>
      <c r="O200" s="19"/>
      <c r="P200" s="19"/>
      <c r="Q200" s="19"/>
      <c r="R200" s="19"/>
      <c r="S200" s="19"/>
      <c r="T200" s="19"/>
      <c r="V200" s="19"/>
      <c r="W200" s="19"/>
      <c r="X200" s="19"/>
      <c r="Y200" s="19"/>
      <c r="Z200" s="19"/>
      <c r="AA200" s="19"/>
      <c r="AB200" s="19"/>
      <c r="AD200" s="19"/>
      <c r="AE200" s="19"/>
      <c r="AF200" s="19"/>
      <c r="AG200" s="19"/>
      <c r="AH200" s="19"/>
      <c r="AI200" s="19"/>
      <c r="AJ200" s="19"/>
    </row>
  </sheetData>
  <mergeCells count="11">
    <mergeCell ref="F1:G1"/>
    <mergeCell ref="H1:L1"/>
    <mergeCell ref="D2:F2"/>
    <mergeCell ref="G2:I2"/>
    <mergeCell ref="A2:A3"/>
    <mergeCell ref="B2:B3"/>
    <mergeCell ref="C2:C3"/>
    <mergeCell ref="J2:J3"/>
    <mergeCell ref="K2:K3"/>
    <mergeCell ref="L2:L3"/>
    <mergeCell ref="M2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性能参数</vt:lpstr>
      <vt:lpstr>扭矩特性曲线</vt:lpstr>
      <vt:lpstr>TN曲线</vt:lpstr>
      <vt:lpstr>堵转温升</vt:lpstr>
      <vt:lpstr>负载温升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WPS_1624951660</cp:lastModifiedBy>
  <dcterms:created xsi:type="dcterms:W3CDTF">2006-09-16T00:00:00Z</dcterms:created>
  <dcterms:modified xsi:type="dcterms:W3CDTF">2026-02-02T11:15:33Z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DD99E73129B24D8A9C4A26E040CB23D9_12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